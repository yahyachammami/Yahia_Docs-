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rapwc-my.sharepoint.com/personal/sadok_laajmi_pwc_com/Documents/Documents/Quantylix/Documents/Formation Quantylix/Semaine 5/"/>
    </mc:Choice>
  </mc:AlternateContent>
  <xr:revisionPtr revIDLastSave="134" documentId="11_A32E8276C74D098AC05EA89C8BC5A5DE19BADF54" xr6:coauthVersionLast="47" xr6:coauthVersionMax="47" xr10:uidLastSave="{85C95629-30B2-48D0-99D8-4649C69242B8}"/>
  <bookViews>
    <workbookView xWindow="-110" yWindow="-110" windowWidth="19420" windowHeight="11500" tabRatio="937" firstSheet="2" activeTab="7" xr2:uid="{00000000-000D-0000-FFFF-FFFF00000000}"/>
  </bookViews>
  <sheets>
    <sheet name="Introduction" sheetId="10" r:id="rId1"/>
    <sheet name="1 - Financial Statements" sheetId="1" r:id="rId2"/>
    <sheet name="2 - Common Size Statements" sheetId="3" r:id="rId3"/>
    <sheet name="3 - Ratio Analysis" sheetId="4" r:id="rId4"/>
    <sheet name="4 - Industry Trend Analysis" sheetId="5" r:id="rId5"/>
    <sheet name="5 - ROI Model" sheetId="6" r:id="rId6"/>
    <sheet name="6 - Cost of Capital" sheetId="7" r:id="rId7"/>
    <sheet name="7 - Economic Analysis" sheetId="8" r:id="rId8"/>
    <sheet name="8 - Sales Forecast" sheetId="9" r:id="rId9"/>
  </sheets>
  <definedNames>
    <definedName name="Print_Area_Tab1">'1 - Financial Statements'!$A$9:$J$87</definedName>
    <definedName name="Print_Area_Tab2">'2 - Common Size Statements'!$A$1:$I$79</definedName>
    <definedName name="_xlnm.Print_Area" localSheetId="1">'1 - Financial Statements'!$A$9:$J$87</definedName>
    <definedName name="_xlnm.Print_Area" localSheetId="5">'5 - ROI Model'!$A$1:$M$39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7" i="1" l="1"/>
  <c r="F82" i="9" l="1"/>
  <c r="G107" i="9" s="1"/>
  <c r="C36" i="9"/>
  <c r="D36" i="9"/>
  <c r="E36" i="9"/>
  <c r="F36" i="9" s="1"/>
  <c r="G36" i="9"/>
  <c r="C37" i="9"/>
  <c r="D37" i="9"/>
  <c r="G37" i="9"/>
  <c r="C38" i="9"/>
  <c r="D38" i="9"/>
  <c r="E38" i="9"/>
  <c r="F38" i="9" s="1"/>
  <c r="G38" i="9"/>
  <c r="G93" i="9"/>
  <c r="F52" i="9"/>
  <c r="F53" i="9"/>
  <c r="F54" i="9"/>
  <c r="F64" i="9"/>
  <c r="G101" i="9" s="1"/>
  <c r="F74" i="9"/>
  <c r="G102" i="9" s="1"/>
  <c r="R17" i="8"/>
  <c r="R18" i="8"/>
  <c r="R19" i="8"/>
  <c r="R20" i="8"/>
  <c r="H21" i="8"/>
  <c r="I21" i="8"/>
  <c r="J21" i="8"/>
  <c r="K21" i="8"/>
  <c r="L21" i="8"/>
  <c r="M21" i="8"/>
  <c r="N21" i="8"/>
  <c r="O21" i="8"/>
  <c r="P21" i="8"/>
  <c r="Q21" i="8"/>
  <c r="R16" i="8"/>
  <c r="G21" i="8"/>
  <c r="H7" i="8"/>
  <c r="E31" i="7"/>
  <c r="G22" i="7"/>
  <c r="D30" i="7" s="1"/>
  <c r="F15" i="7"/>
  <c r="G15" i="7" s="1"/>
  <c r="D29" i="7" s="1"/>
  <c r="F14" i="7"/>
  <c r="G14" i="7" s="1"/>
  <c r="D28" i="7" s="1"/>
  <c r="H25" i="4"/>
  <c r="G106" i="5" s="1"/>
  <c r="I61" i="1"/>
  <c r="I63" i="1"/>
  <c r="I73" i="1"/>
  <c r="G60" i="3" s="1"/>
  <c r="I80" i="1"/>
  <c r="G64" i="3" s="1"/>
  <c r="I50" i="1"/>
  <c r="G50" i="1"/>
  <c r="I36" i="1"/>
  <c r="I40" i="1"/>
  <c r="G36" i="1"/>
  <c r="G40" i="1"/>
  <c r="I24" i="1"/>
  <c r="I25" i="1"/>
  <c r="G24" i="1"/>
  <c r="G25" i="1"/>
  <c r="I19" i="1"/>
  <c r="H9" i="4" s="1"/>
  <c r="G10" i="5" s="1"/>
  <c r="I27" i="1"/>
  <c r="I34" i="3" s="1"/>
  <c r="G19" i="1"/>
  <c r="G27" i="1"/>
  <c r="G16" i="3" s="1"/>
  <c r="R21" i="8" l="1"/>
  <c r="G20" i="3"/>
  <c r="I20" i="3"/>
  <c r="G28" i="3"/>
  <c r="G42" i="1"/>
  <c r="I28" i="3"/>
  <c r="I26" i="3"/>
  <c r="G34" i="3"/>
  <c r="H31" i="4"/>
  <c r="G154" i="5" s="1"/>
  <c r="F30" i="7"/>
  <c r="G30" i="7" s="1"/>
  <c r="F29" i="7"/>
  <c r="G29" i="7" s="1"/>
  <c r="F28" i="7"/>
  <c r="G103" i="9"/>
  <c r="E37" i="9"/>
  <c r="F37" i="9" s="1"/>
  <c r="H27" i="4"/>
  <c r="G130" i="5" s="1"/>
  <c r="G54" i="9"/>
  <c r="H38" i="9"/>
  <c r="H36" i="9"/>
  <c r="G52" i="9"/>
  <c r="H52" i="9" s="1"/>
  <c r="I30" i="3"/>
  <c r="I36" i="3" s="1"/>
  <c r="H54" i="9"/>
  <c r="G53" i="9"/>
  <c r="H53" i="9" s="1"/>
  <c r="H37" i="9"/>
  <c r="G17" i="3"/>
  <c r="I42" i="1"/>
  <c r="G14" i="3"/>
  <c r="I15" i="3"/>
  <c r="G68" i="3"/>
  <c r="H12" i="4"/>
  <c r="G34" i="5" s="1"/>
  <c r="H20" i="4"/>
  <c r="G25" i="6"/>
  <c r="G29" i="8"/>
  <c r="G15" i="3"/>
  <c r="G26" i="3"/>
  <c r="G30" i="3" s="1"/>
  <c r="G36" i="3" s="1"/>
  <c r="G54" i="3"/>
  <c r="H29" i="4"/>
  <c r="G13" i="6"/>
  <c r="I16" i="3"/>
  <c r="I68" i="1"/>
  <c r="I17" i="3"/>
  <c r="G56" i="3"/>
  <c r="K25" i="6"/>
  <c r="I14" i="3"/>
  <c r="F31" i="7" l="1"/>
  <c r="G28" i="7"/>
  <c r="G31" i="7" s="1"/>
  <c r="F25" i="8" s="1"/>
  <c r="I18" i="3"/>
  <c r="I22" i="3" s="1"/>
  <c r="I21" i="6"/>
  <c r="H45" i="4"/>
  <c r="G226" i="5" s="1"/>
  <c r="I75" i="1"/>
  <c r="G58" i="3"/>
  <c r="H55" i="9"/>
  <c r="G96" i="9" s="1"/>
  <c r="H38" i="4"/>
  <c r="G202" i="5" s="1"/>
  <c r="H36" i="4"/>
  <c r="G178" i="5" s="1"/>
  <c r="H27" i="8"/>
  <c r="H29" i="8" s="1"/>
  <c r="H38" i="8" s="1"/>
  <c r="J27" i="8"/>
  <c r="J29" i="8" s="1"/>
  <c r="Q27" i="8"/>
  <c r="Q29" i="8" s="1"/>
  <c r="R35" i="8"/>
  <c r="H23" i="4"/>
  <c r="G82" i="5" s="1"/>
  <c r="G58" i="5"/>
  <c r="G18" i="3"/>
  <c r="G22" i="3" s="1"/>
  <c r="H39" i="9"/>
  <c r="G90" i="9" s="1"/>
  <c r="R33" i="8" l="1"/>
  <c r="H30" i="8"/>
  <c r="O27" i="8"/>
  <c r="O29" i="8" s="1"/>
  <c r="M27" i="8"/>
  <c r="M29" i="8" s="1"/>
  <c r="K27" i="8"/>
  <c r="K29" i="8" s="1"/>
  <c r="I27" i="8"/>
  <c r="I29" i="8" s="1"/>
  <c r="P27" i="8"/>
  <c r="P29" i="8" s="1"/>
  <c r="N27" i="8"/>
  <c r="N29" i="8" s="1"/>
  <c r="L27" i="8"/>
  <c r="L29" i="8" s="1"/>
  <c r="I38" i="8"/>
  <c r="J38" i="8" s="1"/>
  <c r="K38" i="8" s="1"/>
  <c r="L38" i="8" s="1"/>
  <c r="R29" i="8"/>
  <c r="G91" i="9"/>
  <c r="G92" i="9"/>
  <c r="G94" i="9" s="1"/>
  <c r="G98" i="9" s="1"/>
  <c r="G105" i="9" s="1"/>
  <c r="G109" i="9" s="1"/>
  <c r="H47" i="4"/>
  <c r="G250" i="5" s="1"/>
  <c r="H14" i="4"/>
  <c r="I82" i="1"/>
  <c r="H40" i="4"/>
  <c r="G62" i="3"/>
  <c r="I86" i="1" l="1"/>
  <c r="G66" i="3"/>
  <c r="G111" i="9"/>
  <c r="G113" i="9" s="1"/>
  <c r="G70" i="3" l="1"/>
  <c r="H51" i="4"/>
  <c r="G298" i="5" s="1"/>
  <c r="H53" i="4"/>
  <c r="G323" i="5" s="1"/>
  <c r="H49" i="4"/>
  <c r="G274" i="5" s="1"/>
  <c r="C25" i="6"/>
  <c r="E21" i="6" s="1"/>
  <c r="G17" i="6" s="1"/>
  <c r="G9" i="6" s="1"/>
</calcChain>
</file>

<file path=xl/sharedStrings.xml><?xml version="1.0" encoding="utf-8"?>
<sst xmlns="http://schemas.openxmlformats.org/spreadsheetml/2006/main" count="424" uniqueCount="283">
  <si>
    <t>Financial Analysis</t>
  </si>
  <si>
    <t>This workbook summarizes the different concepts of financial analysis</t>
  </si>
  <si>
    <t>Financial Statements - Start with a complete set of financial statements</t>
  </si>
  <si>
    <t>Common Size Statements - Express the Financials in terms of common size for ease of analysis</t>
  </si>
  <si>
    <t>Ratio Analysis - Apply a complete set of ratios to financial statements</t>
  </si>
  <si>
    <t>Industry Trend Analysis - Benchmark your performance against industry standard</t>
  </si>
  <si>
    <t>ROI Model - Construct a model that explains the sources behind Return on Investment</t>
  </si>
  <si>
    <t>Cost of Capital - Calculate the Weigthed Average Cost of Capital</t>
  </si>
  <si>
    <t>Economic Analysis - Analyze a major investment using economic indicators</t>
  </si>
  <si>
    <t>Sales Forecast - Prepare a sales forecast for next year</t>
  </si>
  <si>
    <t>Introduction to Financial Analysis</t>
  </si>
  <si>
    <t>Financial Statements</t>
  </si>
  <si>
    <t>We need a complete set of financial statements in order to do financial analysis. The Balance</t>
  </si>
  <si>
    <t xml:space="preserve">Sheet and Income Statement are very important for analyzing performance using ratios and </t>
  </si>
  <si>
    <t>trend analysis. We also need these financial statements to help us calculate cost of capital</t>
  </si>
  <si>
    <t>and to forecast future financial results.</t>
  </si>
  <si>
    <t>Balance Sheet</t>
  </si>
  <si>
    <t>Year ending</t>
  </si>
  <si>
    <t>Assets</t>
  </si>
  <si>
    <t xml:space="preserve">       ($ in thousands of dollars)</t>
  </si>
  <si>
    <t>Current Assets</t>
  </si>
  <si>
    <t>Cash</t>
  </si>
  <si>
    <t>Marketable Securities</t>
  </si>
  <si>
    <t>Accounts Receivable</t>
  </si>
  <si>
    <t>Inventories</t>
  </si>
  <si>
    <t>Total Current Assets</t>
  </si>
  <si>
    <t>Long-Term Assets</t>
  </si>
  <si>
    <t>Property &amp; Equipment at cost</t>
  </si>
  <si>
    <t>Less Accumulated Depreciation</t>
  </si>
  <si>
    <t>Net Property &amp; Equipment</t>
  </si>
  <si>
    <t>Total Long-Term Assets</t>
  </si>
  <si>
    <t>TOTAL ASSETS</t>
  </si>
  <si>
    <t>Liabilities</t>
  </si>
  <si>
    <t>Current Liabilities</t>
  </si>
  <si>
    <t>Accounts Payable</t>
  </si>
  <si>
    <t>Notes Payable @ 10%</t>
  </si>
  <si>
    <t>Taxes Payable</t>
  </si>
  <si>
    <t>Other Current Liabilities</t>
  </si>
  <si>
    <t>Current Portion of Longterm Debt</t>
  </si>
  <si>
    <t>Total Current Liabilities</t>
  </si>
  <si>
    <t>Long-Term Liabilities</t>
  </si>
  <si>
    <t>Mortgage Bonds @ 9.58%</t>
  </si>
  <si>
    <t>Total Long-Term Liabilities</t>
  </si>
  <si>
    <t>TOTAL LIABILITIES</t>
  </si>
  <si>
    <t>Equity</t>
  </si>
  <si>
    <t>Common Stock</t>
  </si>
  <si>
    <t>Paid in Capital in excess of par value</t>
  </si>
  <si>
    <t>Retained Earnings</t>
  </si>
  <si>
    <t>TOTAL EQUITY</t>
  </si>
  <si>
    <t>Income Statement</t>
  </si>
  <si>
    <t>Revenues</t>
  </si>
  <si>
    <t xml:space="preserve"> </t>
  </si>
  <si>
    <t>($ in thousands of dollars)</t>
  </si>
  <si>
    <t>Gross Sales Revenues</t>
  </si>
  <si>
    <t>Allowance for Sales Returned</t>
  </si>
  <si>
    <t>Net Sales Revenues</t>
  </si>
  <si>
    <t>TOTAL SALES</t>
  </si>
  <si>
    <t>Expenses</t>
  </si>
  <si>
    <t>Cost of Goods Sold</t>
  </si>
  <si>
    <t>Gross Profits</t>
  </si>
  <si>
    <t>Operating Expenses:</t>
  </si>
  <si>
    <t>Selling &amp; Marketing</t>
  </si>
  <si>
    <t>General Administrative</t>
  </si>
  <si>
    <t>Total Operating Expenses</t>
  </si>
  <si>
    <t>Operating Income</t>
  </si>
  <si>
    <t>Interest Expenses:</t>
  </si>
  <si>
    <t>Interest on Loans</t>
  </si>
  <si>
    <t>Interest on Mortgage Bonds</t>
  </si>
  <si>
    <t>Total Interest Expenses</t>
  </si>
  <si>
    <t>Earnings Before Taxes</t>
  </si>
  <si>
    <t>Federal &amp; State Taxes @ 40%</t>
  </si>
  <si>
    <t>NET INCOME</t>
  </si>
  <si>
    <t>Common Size Financial Statements</t>
  </si>
  <si>
    <t>Vertical analysis of financial statements is most often performed by expressing the Balance Sheet and</t>
  </si>
  <si>
    <t>Income Statement as common size statements. We can easily understand the relationships between</t>
  </si>
  <si>
    <t>accounts when we express financials as a percentage of total balances.</t>
  </si>
  <si>
    <t xml:space="preserve">                  (% of Total Assets)</t>
  </si>
  <si>
    <t xml:space="preserve">Cash </t>
  </si>
  <si>
    <t>TOTAL LIABILITIES &amp; EQUITY</t>
  </si>
  <si>
    <t>Key Points per Review of the Common Size Balance Sheet:</t>
  </si>
  <si>
    <t>The company is fairly liquid since current assets are 61% of total assets.</t>
  </si>
  <si>
    <t>About 55% of all assets are tied up in either Accounts Receivable or Inventories. Therefore, it is</t>
  </si>
  <si>
    <t>very important to effectively manage these two assets on the Balance Sheet.</t>
  </si>
  <si>
    <t>The company does not appear to be too overly leveraged in debt with a debt leverage below 60%</t>
  </si>
  <si>
    <t>(% of Total Net Sales)</t>
  </si>
  <si>
    <t>NET SALES</t>
  </si>
  <si>
    <t>Gross Margin</t>
  </si>
  <si>
    <t>Operating Expense</t>
  </si>
  <si>
    <t>Operating Margin</t>
  </si>
  <si>
    <t>Interest Expense</t>
  </si>
  <si>
    <t>Tax Expense</t>
  </si>
  <si>
    <t>Key Points per Review of the Common Size Income Statement:</t>
  </si>
  <si>
    <t>Cost of products sold represents 75% of all costs the company incurs</t>
  </si>
  <si>
    <t>Operating costs appear to be modest at 14%</t>
  </si>
  <si>
    <t>Return on Sales is rather low at 4.45%</t>
  </si>
  <si>
    <t>Ratio Analysis</t>
  </si>
  <si>
    <t>A complete set of ratios is probably the best analytical approach to evaluating the financial strengths and</t>
  </si>
  <si>
    <t xml:space="preserve">weaknesses of a company. </t>
  </si>
  <si>
    <t>Liquidity Ratios</t>
  </si>
  <si>
    <t>1. Current Ratio = Current Assets / Current Liabilities</t>
  </si>
  <si>
    <t>2. Acid Test or Quick Ratio = (Current Assets - Inventories - Prepaid</t>
  </si>
  <si>
    <t>Expenses) / Current Liabilities</t>
  </si>
  <si>
    <t>3. Operating Cash Flow to Current Liabilities</t>
  </si>
  <si>
    <t>Asset Management Ratios</t>
  </si>
  <si>
    <t>4. Accounts Receivable Turnover = Annual Credit Sales / Average</t>
  </si>
  <si>
    <t>Receivable Balance</t>
  </si>
  <si>
    <t xml:space="preserve">5. Accounts Receivable Collection = 360 Days / Accounts </t>
  </si>
  <si>
    <t>Receivable Turnover</t>
  </si>
  <si>
    <t>6. Inventory Turnover = Cost of Goods Sold / Average Inventory</t>
  </si>
  <si>
    <t>7. Days Held in Inventory = 360 Days / Inventory Turnover</t>
  </si>
  <si>
    <t>8. Fixed Asset Turnover = Sales / Average Net Fixed Assets</t>
  </si>
  <si>
    <t>9. Total Asset Turnover = Sales / Average Total Assets</t>
  </si>
  <si>
    <t>Leverage Ratios</t>
  </si>
  <si>
    <t>10. Debt Ratio = Total Debt / Total Assets</t>
  </si>
  <si>
    <t>11. Debt to Equity Ratio = Total Debt / Total Equity</t>
  </si>
  <si>
    <t xml:space="preserve">12. Times Interest Earned = Earnings Before Interest and Taxes / Interest </t>
  </si>
  <si>
    <t>Profitability Ratios</t>
  </si>
  <si>
    <t>13. Gross Profit or Margin = (Sales - Cost of Goods Sold) / Sales</t>
  </si>
  <si>
    <t>14. Operating Income Ratio = Operating Income / Sales</t>
  </si>
  <si>
    <t>15. Return on Sales = Earnings after Taxes / Sales</t>
  </si>
  <si>
    <t>16. Return on Investment = Earnings after Taxes / Average Total Assets</t>
  </si>
  <si>
    <t>17. Return on Equity = Earnings after Taxes / Average Owners Equity</t>
  </si>
  <si>
    <t>Industry Trend Analysis</t>
  </si>
  <si>
    <t>Compare the company performance against benchmark data for the overall industry. Where practical, try</t>
  </si>
  <si>
    <t xml:space="preserve">to plot performance over long periods of time, such as five years to identify trends. </t>
  </si>
  <si>
    <t>1. Current Ratio Comparison - 5 Years</t>
  </si>
  <si>
    <t>Company</t>
  </si>
  <si>
    <t>Industry</t>
  </si>
  <si>
    <t>2. Acid Test or Quick Ratio Comparison - 5 Years</t>
  </si>
  <si>
    <t>3. Accounts Receivable Turnover Comparison - 5 Years</t>
  </si>
  <si>
    <t>4. Accounts Receivable Collection Comparison - 5 Years</t>
  </si>
  <si>
    <t>5. Inventory Turnover Comparison - 5 Years</t>
  </si>
  <si>
    <t>6. Days Held in Inventory Comparison - 5 Years</t>
  </si>
  <si>
    <t>7. Total Asset Turnover Comparison - 5 Years</t>
  </si>
  <si>
    <t>8. Debt Ratio Comparison - 5 Years</t>
  </si>
  <si>
    <t>9. Debt to Equity Ratio Comparison - 5 Years</t>
  </si>
  <si>
    <t>10. Gross Profit or Margin Comparison - 5 Years</t>
  </si>
  <si>
    <t>11. Operating Income Ratio Comparison - 5 Years</t>
  </si>
  <si>
    <t>12. Return on Sales Comparison - 5 Years</t>
  </si>
  <si>
    <t>13. Return on Investment Comparison - 5 Years</t>
  </si>
  <si>
    <t>14. Return on Equity Comparison - 5 Years</t>
  </si>
  <si>
    <t>Return on Investment (ROI) Model</t>
  </si>
  <si>
    <t>Given the importance of returns on investments, it is useful to structure a model that explains the root drivers behind returns:</t>
  </si>
  <si>
    <t>Return on Capital invested by Owners</t>
  </si>
  <si>
    <t>Return on Equity</t>
  </si>
  <si>
    <t>Convert ROI on Assets to ROI for Equity</t>
  </si>
  <si>
    <t>Total Assets to Shareholder Equity</t>
  </si>
  <si>
    <t>Return on Investments in Assets</t>
  </si>
  <si>
    <t>Return on Investment</t>
  </si>
  <si>
    <t>Two Drivers behind ROI on Assets</t>
  </si>
  <si>
    <t>Profit Margin</t>
  </si>
  <si>
    <t>Total Asset Turnover</t>
  </si>
  <si>
    <t>Three Lower</t>
  </si>
  <si>
    <t>Net Income</t>
  </si>
  <si>
    <t>Sales</t>
  </si>
  <si>
    <t>Total Assets</t>
  </si>
  <si>
    <t>Drivers</t>
  </si>
  <si>
    <t>Lowest Level - Accounts</t>
  </si>
  <si>
    <t>in Financial Statements</t>
  </si>
  <si>
    <t>Breakdown of all</t>
  </si>
  <si>
    <t>major expense accounts</t>
  </si>
  <si>
    <t>asset accounts</t>
  </si>
  <si>
    <t>Cost of Capital Calculation</t>
  </si>
  <si>
    <t>Cost of Capital is an important benchmark by which you should evaluate long term investments.</t>
  </si>
  <si>
    <t>1. Identify the interest bearing debt on the Balance Sheet:</t>
  </si>
  <si>
    <t>2. Calculate the effective rate by deducting out the tax rate since interest is deductible:</t>
  </si>
  <si>
    <t>Tax Rate per Balance Sheet</t>
  </si>
  <si>
    <t>3. Calculate the cost of equity using the Capital Asset Pricing Model:</t>
  </si>
  <si>
    <t>a.</t>
  </si>
  <si>
    <t>Risk Free Rate of Return - 10 Year Treasury Bonds</t>
  </si>
  <si>
    <t>b.</t>
  </si>
  <si>
    <t>Beta Risk Factor for Stock of Company</t>
  </si>
  <si>
    <t>c.</t>
  </si>
  <si>
    <t>Market Portfolio Returns</t>
  </si>
  <si>
    <t>Rate of Return for Stock</t>
  </si>
  <si>
    <t>4. Assign market values to each of the components of capital and calculate the Weighted Average Cost of Capital:</t>
  </si>
  <si>
    <t>Cost of</t>
  </si>
  <si>
    <t>Market</t>
  </si>
  <si>
    <t>Weighted</t>
  </si>
  <si>
    <t>Capital</t>
  </si>
  <si>
    <t>Values</t>
  </si>
  <si>
    <t>Percents</t>
  </si>
  <si>
    <t>Cost of Cap</t>
  </si>
  <si>
    <t>Notes Payable</t>
  </si>
  <si>
    <t>Mortagage Bonds</t>
  </si>
  <si>
    <t>Stock (Equity)</t>
  </si>
  <si>
    <t>Investments need to generate a rate greater than</t>
  </si>
  <si>
    <t>Economic Analysis</t>
  </si>
  <si>
    <t>Long term investments should be evaluated using economic analysis. This will involve estimating the</t>
  </si>
  <si>
    <t>discounted cash flows of the investment.</t>
  </si>
  <si>
    <t>During the year, an investment was made in Property &amp; Equipment</t>
  </si>
  <si>
    <t>Evaluate the economics of this investment as follows:</t>
  </si>
  <si>
    <t>Determine the useful life of the investment &gt;</t>
  </si>
  <si>
    <t>Years</t>
  </si>
  <si>
    <t>Cash flow outlays and benefits from this investment are:</t>
  </si>
  <si>
    <t>Year</t>
  </si>
  <si>
    <t>Total</t>
  </si>
  <si>
    <t>Initial cash outlay to acquire and install</t>
  </si>
  <si>
    <t>Cash outlays to operate and maintain</t>
  </si>
  <si>
    <t>Cash benefit - higher efficiencies</t>
  </si>
  <si>
    <t>Cash benefit - costs avoided</t>
  </si>
  <si>
    <t xml:space="preserve">Cash benefit - increased sales </t>
  </si>
  <si>
    <t>Net Cost or Benefit</t>
  </si>
  <si>
    <t>Calculate the discounted cash flows for this investment</t>
  </si>
  <si>
    <t>Cost of Capital Rate &gt;</t>
  </si>
  <si>
    <t>Present Value Interest Factor</t>
  </si>
  <si>
    <t>Discounted Amounts</t>
  </si>
  <si>
    <t>Summarize your results using economic indicators</t>
  </si>
  <si>
    <t>Key Economic Indicator is NPV &gt;</t>
  </si>
  <si>
    <t xml:space="preserve">Net Present Value </t>
  </si>
  <si>
    <t>You can also use this formula for NPV which yields a more conservative value &gt;</t>
  </si>
  <si>
    <t>Another Key Economic Indicator is Rate of Return &gt;</t>
  </si>
  <si>
    <t>Rate to use for reinvestment of residual cash flows &gt;</t>
  </si>
  <si>
    <t>Rate of Return</t>
  </si>
  <si>
    <t>A third economic indicator is discounted payback period - How long does it take before you recover your investment?</t>
  </si>
  <si>
    <t>&lt; In Year 5 we reach payback of our investment</t>
  </si>
  <si>
    <t>Conclusion: This investment creates positive value for the company, has an estimated rate of return</t>
  </si>
  <si>
    <t>higher than the cost of capital, and reaches payback mid way in the useful life of the asset.</t>
  </si>
  <si>
    <t>Based on these economic indicators, this appears to be a good investment.</t>
  </si>
  <si>
    <t>Sales Forecast and Forecasted Income Statement</t>
  </si>
  <si>
    <t>Once you have a clear indication of past financial performance, then you can forecast future financial</t>
  </si>
  <si>
    <t>performance. This usually starts with Sales and the Income Statement. A simple example appears below:</t>
  </si>
  <si>
    <t xml:space="preserve">Step 1 - Determine the expected demand for your products and services next year </t>
  </si>
  <si>
    <t>Historical demand for products are summarized below:</t>
  </si>
  <si>
    <t>Units Sold</t>
  </si>
  <si>
    <t>Product</t>
  </si>
  <si>
    <t>in Yr 2005</t>
  </si>
  <si>
    <t>in Yr 2006</t>
  </si>
  <si>
    <t>in Yr 2007</t>
  </si>
  <si>
    <t>Lectin</t>
  </si>
  <si>
    <t>Protela</t>
  </si>
  <si>
    <t>Sucula</t>
  </si>
  <si>
    <t xml:space="preserve">Step 2 - Determine the expected pricing for your products and services next year </t>
  </si>
  <si>
    <t>Based on competitive analysis and interviews with marketing staff, the following</t>
  </si>
  <si>
    <t>sales prices will be applied in Year 2008:</t>
  </si>
  <si>
    <t>Price</t>
  </si>
  <si>
    <t>Step 3 - Calculate total expected sales for the year</t>
  </si>
  <si>
    <t>Estimated Sales by Product based on average growth:</t>
  </si>
  <si>
    <t>% Growth</t>
  </si>
  <si>
    <t>Average</t>
  </si>
  <si>
    <t>Expected</t>
  </si>
  <si>
    <t>Estimated</t>
  </si>
  <si>
    <t>in 2006</t>
  </si>
  <si>
    <t>in 2007</t>
  </si>
  <si>
    <t>Growth</t>
  </si>
  <si>
    <t>Sales Amt</t>
  </si>
  <si>
    <t>Identify any other major sources of revenues anticipated for the year 2008:</t>
  </si>
  <si>
    <t>Strategic plan and financial plan includes divesting in non performing investments</t>
  </si>
  <si>
    <t>Step 4 - Based on financial analysis, budgets, and other sources, estimate the costs for 2008</t>
  </si>
  <si>
    <t>Cost accounting records and interviews with Engineers indicated the following production costs:</t>
  </si>
  <si>
    <t>&lt; - - - - - - - - Per Unit Cost - - - - - - - - -&gt;</t>
  </si>
  <si>
    <t>Total Unit</t>
  </si>
  <si>
    <t>Units</t>
  </si>
  <si>
    <t>Materials</t>
  </si>
  <si>
    <t>Labor</t>
  </si>
  <si>
    <t>Overhead</t>
  </si>
  <si>
    <t>Prod Cost</t>
  </si>
  <si>
    <t>Sold</t>
  </si>
  <si>
    <t>Goods Sold</t>
  </si>
  <si>
    <t>Marketing and selling costs are estimated based on the advertising budget and sales support team</t>
  </si>
  <si>
    <t>needed to meet targeted sales for 2008</t>
  </si>
  <si>
    <t>Advertising Plan and Budget for 2008</t>
  </si>
  <si>
    <t>Sales Salaries and Commissions for 2008</t>
  </si>
  <si>
    <t>General Marketing Expenses</t>
  </si>
  <si>
    <t>Reserve and Allowance for Contigencies</t>
  </si>
  <si>
    <t>General and administrative costs are estimated based on staff plans for 2008 in all service support functions</t>
  </si>
  <si>
    <t>Executive Management</t>
  </si>
  <si>
    <t>Engineering &amp; Operations</t>
  </si>
  <si>
    <t>Accounting &amp; Finance</t>
  </si>
  <si>
    <t>Human Resource Mgmt</t>
  </si>
  <si>
    <t>Other Support Functions</t>
  </si>
  <si>
    <t>Interest on debt is calculated based on anticipated borrowing of funds in 2008. The total required fixed assets</t>
  </si>
  <si>
    <t>to support the sales revenues was considered adequate and thus no additional borrowings were expected.</t>
  </si>
  <si>
    <t>The total scheduled interest payments for 2008 are:</t>
  </si>
  <si>
    <t>Interest payments on loans</t>
  </si>
  <si>
    <t>Interest payments on mortgage debt</t>
  </si>
  <si>
    <t>Step 5 - Summarize Steps 3 and 4 into a Forecasted Income Statement</t>
  </si>
  <si>
    <t>Forecasted Income Statement for 2008</t>
  </si>
  <si>
    <t>Ref</t>
  </si>
  <si>
    <t>Estimated Allowance for Sales Returned @ 3.5%</t>
  </si>
  <si>
    <t>Revenue from Divesting in Assets</t>
  </si>
  <si>
    <t>TOTAL REVENUES</t>
  </si>
  <si>
    <t>Interest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</si>
</sst>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0.000"/>
    <numFmt numFmtId="168" formatCode="0.0000"/>
  </numFmts>
  <fonts count="13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0"/>
      <name val="Arial"/>
      <family val="2"/>
    </font>
    <font>
      <u/>
      <sz val="10"/>
      <color indexed="12"/>
      <name val="Arial"/>
      <family val="2"/>
    </font>
    <font>
      <i/>
      <sz val="10"/>
      <name val="Arial"/>
      <family val="2"/>
    </font>
    <font>
      <i/>
      <sz val="12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9" fontId="12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4" fillId="0" borderId="0" xfId="0" applyFont="1"/>
    <xf numFmtId="14" fontId="6" fillId="0" borderId="0" xfId="0" applyNumberFormat="1" applyFont="1"/>
    <xf numFmtId="0" fontId="6" fillId="0" borderId="0" xfId="0" applyFont="1"/>
    <xf numFmtId="0" fontId="1" fillId="0" borderId="0" xfId="0" applyFont="1" applyAlignment="1">
      <alignment horizontal="right"/>
    </xf>
    <xf numFmtId="0" fontId="5" fillId="0" borderId="1" xfId="0" applyFont="1" applyBorder="1"/>
    <xf numFmtId="0" fontId="0" fillId="0" borderId="1" xfId="0" applyBorder="1"/>
    <xf numFmtId="3" fontId="0" fillId="0" borderId="0" xfId="0" applyNumberFormat="1"/>
    <xf numFmtId="3" fontId="0" fillId="0" borderId="1" xfId="0" applyNumberFormat="1" applyBorder="1"/>
    <xf numFmtId="3" fontId="1" fillId="0" borderId="0" xfId="0" applyNumberFormat="1" applyFont="1"/>
    <xf numFmtId="164" fontId="0" fillId="0" borderId="0" xfId="0" applyNumberFormat="1"/>
    <xf numFmtId="164" fontId="1" fillId="0" borderId="2" xfId="0" applyNumberFormat="1" applyFont="1" applyBorder="1"/>
    <xf numFmtId="3" fontId="1" fillId="0" borderId="1" xfId="0" applyNumberFormat="1" applyFont="1" applyBorder="1"/>
    <xf numFmtId="0" fontId="8" fillId="0" borderId="0" xfId="0" applyFont="1"/>
    <xf numFmtId="0" fontId="9" fillId="0" borderId="0" xfId="0" applyFont="1"/>
    <xf numFmtId="165" fontId="0" fillId="0" borderId="0" xfId="0" applyNumberFormat="1"/>
    <xf numFmtId="3" fontId="1" fillId="0" borderId="2" xfId="0" applyNumberFormat="1" applyFont="1" applyBorder="1"/>
    <xf numFmtId="10" fontId="0" fillId="0" borderId="0" xfId="0" applyNumberFormat="1"/>
    <xf numFmtId="10" fontId="1" fillId="0" borderId="0" xfId="0" applyNumberFormat="1" applyFont="1"/>
    <xf numFmtId="10" fontId="1" fillId="0" borderId="2" xfId="0" applyNumberFormat="1" applyFont="1" applyBorder="1"/>
    <xf numFmtId="0" fontId="10" fillId="0" borderId="0" xfId="0" applyFont="1"/>
    <xf numFmtId="0" fontId="11" fillId="0" borderId="0" xfId="0" applyFont="1"/>
    <xf numFmtId="0" fontId="1" fillId="0" borderId="0" xfId="0" applyFont="1" applyAlignment="1">
      <alignment horizontal="center"/>
    </xf>
    <xf numFmtId="14" fontId="1" fillId="0" borderId="1" xfId="0" applyNumberFormat="1" applyFont="1" applyBorder="1" applyAlignment="1">
      <alignment horizontal="center"/>
    </xf>
    <xf numFmtId="2" fontId="0" fillId="0" borderId="3" xfId="0" applyNumberFormat="1" applyBorder="1"/>
    <xf numFmtId="2" fontId="0" fillId="0" borderId="0" xfId="0" applyNumberFormat="1"/>
    <xf numFmtId="2" fontId="0" fillId="0" borderId="1" xfId="0" applyNumberFormat="1" applyBorder="1"/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164" fontId="1" fillId="3" borderId="4" xfId="0" applyNumberFormat="1" applyFont="1" applyFill="1" applyBorder="1" applyAlignment="1">
      <alignment horizontal="center" vertical="center" wrapText="1"/>
    </xf>
    <xf numFmtId="10" fontId="1" fillId="3" borderId="4" xfId="0" applyNumberFormat="1" applyFont="1" applyFill="1" applyBorder="1" applyAlignment="1">
      <alignment horizontal="center" vertical="center" wrapText="1"/>
    </xf>
    <xf numFmtId="39" fontId="1" fillId="3" borderId="4" xfId="0" applyNumberFormat="1" applyFont="1" applyFill="1" applyBorder="1" applyAlignment="1">
      <alignment horizontal="center" vertical="center" wrapText="1"/>
    </xf>
    <xf numFmtId="167" fontId="1" fillId="3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/>
    <xf numFmtId="10" fontId="0" fillId="0" borderId="3" xfId="0" applyNumberFormat="1" applyBorder="1"/>
    <xf numFmtId="168" fontId="0" fillId="0" borderId="0" xfId="0" applyNumberFormat="1"/>
    <xf numFmtId="38" fontId="0" fillId="0" borderId="0" xfId="0" applyNumberFormat="1"/>
    <xf numFmtId="166" fontId="0" fillId="0" borderId="0" xfId="0" applyNumberFormat="1"/>
    <xf numFmtId="164" fontId="1" fillId="0" borderId="0" xfId="0" applyNumberFormat="1" applyFont="1"/>
    <xf numFmtId="0" fontId="5" fillId="0" borderId="0" xfId="0" applyFont="1"/>
    <xf numFmtId="0" fontId="7" fillId="0" borderId="0" xfId="1" applyAlignment="1" applyProtection="1"/>
    <xf numFmtId="10" fontId="0" fillId="0" borderId="0" xfId="2" applyNumberFormat="1" applyFont="1"/>
    <xf numFmtId="0" fontId="0" fillId="4" borderId="0" xfId="0" applyFill="1"/>
    <xf numFmtId="0" fontId="2" fillId="0" borderId="0" xfId="0" applyFont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</cellXfs>
  <cellStyles count="3">
    <cellStyle name="Lien hypertexte" xfId="1" builtinId="8"/>
    <cellStyle name="Normal" xfId="0" builtinId="0"/>
    <cellStyle name="Pourcentag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Current Ratio</a:t>
            </a:r>
          </a:p>
        </c:rich>
      </c:tx>
      <c:layout>
        <c:manualLayout>
          <c:xMode val="edge"/>
          <c:yMode val="edge"/>
          <c:x val="0.38979630679638355"/>
          <c:y val="3.73135008189657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510219537447725"/>
          <c:y val="0.2425377553232774"/>
          <c:w val="0.62040878149790879"/>
          <c:h val="0.50000091097414112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Analysis'!$B$10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Analysis'!$C$9:$G$9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Analysis'!$C$10:$G$10</c:f>
              <c:numCache>
                <c:formatCode>0.00</c:formatCode>
                <c:ptCount val="5"/>
                <c:pt idx="0">
                  <c:v>1.97</c:v>
                </c:pt>
                <c:pt idx="1">
                  <c:v>1.94</c:v>
                </c:pt>
                <c:pt idx="2">
                  <c:v>1.82</c:v>
                </c:pt>
                <c:pt idx="3">
                  <c:v>1.91</c:v>
                </c:pt>
                <c:pt idx="4">
                  <c:v>1.9664616228499785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4-4A44-9D76-8B074BF3B1AC}"/>
            </c:ext>
          </c:extLst>
        </c:ser>
        <c:ser>
          <c:idx val="1"/>
          <c:order val="1"/>
          <c:tx>
            <c:strRef>
              <c:f>'4 - Industry Trend Analysis'!$B$11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Analysis'!$C$9:$G$9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Analysis'!$C$11:$G$11</c:f>
              <c:numCache>
                <c:formatCode>0.00</c:formatCode>
                <c:ptCount val="5"/>
                <c:pt idx="0">
                  <c:v>1.86</c:v>
                </c:pt>
                <c:pt idx="1">
                  <c:v>1.88</c:v>
                </c:pt>
                <c:pt idx="2">
                  <c:v>1.8</c:v>
                </c:pt>
                <c:pt idx="3">
                  <c:v>1.84</c:v>
                </c:pt>
                <c:pt idx="4">
                  <c:v>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D4-4A44-9D76-8B074BF3B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81184"/>
        <c:axId val="79983360"/>
      </c:lineChart>
      <c:catAx>
        <c:axId val="7998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265349236038381"/>
              <c:y val="0.858210518836212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653093763047841E-2"/>
              <c:y val="0.425373909336209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981184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795997883448155"/>
          <c:y val="0.41417985909051985"/>
          <c:w val="0.18571447077733463"/>
          <c:h val="0.160448053521552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Acid Test Ratio</a:t>
            </a:r>
          </a:p>
        </c:rich>
      </c:tx>
      <c:layout>
        <c:manualLayout>
          <c:xMode val="edge"/>
          <c:yMode val="edge"/>
          <c:x val="0.37881873727087595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78615071283097"/>
          <c:y val="0.24163568773234204"/>
          <c:w val="0.62118126272912433"/>
          <c:h val="0.50185873605947973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Analysis'!$B$34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Analysis'!$C$33:$G$33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Analysis'!$C$34:$G$34</c:f>
              <c:numCache>
                <c:formatCode>0.00</c:formatCode>
                <c:ptCount val="5"/>
                <c:pt idx="0">
                  <c:v>0.83</c:v>
                </c:pt>
                <c:pt idx="1">
                  <c:v>0.79</c:v>
                </c:pt>
                <c:pt idx="2">
                  <c:v>0.77</c:v>
                </c:pt>
                <c:pt idx="3">
                  <c:v>0.81</c:v>
                </c:pt>
                <c:pt idx="4">
                  <c:v>0.88782666614426209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A-4AE1-B375-09853CA814FB}"/>
            </c:ext>
          </c:extLst>
        </c:ser>
        <c:ser>
          <c:idx val="1"/>
          <c:order val="1"/>
          <c:tx>
            <c:strRef>
              <c:f>'4 - Industry Trend Analysis'!$B$35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Analysis'!$C$33:$G$33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Analysis'!$C$35:$G$35</c:f>
              <c:numCache>
                <c:formatCode>0.00</c:formatCode>
                <c:ptCount val="5"/>
                <c:pt idx="0">
                  <c:v>0.8</c:v>
                </c:pt>
                <c:pt idx="1">
                  <c:v>0.83</c:v>
                </c:pt>
                <c:pt idx="2">
                  <c:v>0.81</c:v>
                </c:pt>
                <c:pt idx="3">
                  <c:v>0.77</c:v>
                </c:pt>
                <c:pt idx="4">
                  <c:v>0.79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0A-4AE1-B375-09853CA81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96416"/>
        <c:axId val="79998336"/>
      </c:lineChart>
      <c:catAx>
        <c:axId val="7999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177189409368638"/>
              <c:y val="0.858736059479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998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998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4237918215613382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996416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837067209775969"/>
          <c:y val="0.41263940520446102"/>
          <c:w val="0.18533604887983712"/>
          <c:h val="0.159851301115241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Receivable Turnover Ratio</a:t>
            </a:r>
          </a:p>
        </c:rich>
      </c:tx>
      <c:layout>
        <c:manualLayout>
          <c:xMode val="edge"/>
          <c:yMode val="edge"/>
          <c:x val="0.28861845905277222"/>
          <c:y val="3.70371709967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7185132401892"/>
          <c:y val="0.24074161147862949"/>
          <c:w val="0.62195245401512889"/>
          <c:h val="0.50370552555528625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Analysis'!$B$58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Analysis'!$C$57:$G$57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Analysis'!$C$58:$G$58</c:f>
              <c:numCache>
                <c:formatCode>0.00</c:formatCode>
                <c:ptCount val="5"/>
                <c:pt idx="0">
                  <c:v>6.79</c:v>
                </c:pt>
                <c:pt idx="1">
                  <c:v>6.71</c:v>
                </c:pt>
                <c:pt idx="2">
                  <c:v>6.58</c:v>
                </c:pt>
                <c:pt idx="3">
                  <c:v>6.34</c:v>
                </c:pt>
                <c:pt idx="4">
                  <c:v>6.4122831959056015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6-4961-84D3-6CDEF374D521}"/>
            </c:ext>
          </c:extLst>
        </c:ser>
        <c:ser>
          <c:idx val="1"/>
          <c:order val="1"/>
          <c:tx>
            <c:strRef>
              <c:f>'4 - Industry Trend Analysis'!$B$59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Analysis'!$C$57:$G$57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Analysis'!$C$59:$G$59</c:f>
              <c:numCache>
                <c:formatCode>0.00</c:formatCode>
                <c:ptCount val="5"/>
                <c:pt idx="0">
                  <c:v>7.07</c:v>
                </c:pt>
                <c:pt idx="1">
                  <c:v>7.01</c:v>
                </c:pt>
                <c:pt idx="2">
                  <c:v>6.98</c:v>
                </c:pt>
                <c:pt idx="3">
                  <c:v>6.84</c:v>
                </c:pt>
                <c:pt idx="4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66-4961-84D3-6CDEF374D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42016"/>
        <c:axId val="79943936"/>
      </c:lineChart>
      <c:catAx>
        <c:axId val="7994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292768857915837"/>
              <c:y val="0.859262367123723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9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9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520389752425036E-2"/>
              <c:y val="0.425927466462190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942016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878207329393991"/>
          <c:y val="0.41481631516317702"/>
          <c:w val="0.18495971671691741"/>
          <c:h val="0.159259835285862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Receivable Collection in Days</a:t>
            </a:r>
          </a:p>
        </c:rich>
      </c:tx>
      <c:layout>
        <c:manualLayout>
          <c:xMode val="edge"/>
          <c:yMode val="edge"/>
          <c:x val="0.26572034431290442"/>
          <c:y val="3.6900435490002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35716471733642"/>
          <c:y val="0.23985283068501839"/>
          <c:w val="0.60851987247230033"/>
          <c:h val="0.50553596621303876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Analysis'!$B$82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Analysis'!$C$81:$G$81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Analysis'!$C$82:$G$82</c:f>
              <c:numCache>
                <c:formatCode>0.00</c:formatCode>
                <c:ptCount val="5"/>
                <c:pt idx="0">
                  <c:v>51.3</c:v>
                </c:pt>
                <c:pt idx="1">
                  <c:v>52.41</c:v>
                </c:pt>
                <c:pt idx="2">
                  <c:v>55.73</c:v>
                </c:pt>
                <c:pt idx="3">
                  <c:v>57.08</c:v>
                </c:pt>
                <c:pt idx="4">
                  <c:v>56.142249024476762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D-4B16-BBA5-060253FEA8DC}"/>
            </c:ext>
          </c:extLst>
        </c:ser>
        <c:ser>
          <c:idx val="1"/>
          <c:order val="1"/>
          <c:tx>
            <c:strRef>
              <c:f>'4 - Industry Trend Analysis'!$B$83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Analysis'!$C$81:$G$81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Analysis'!$C$83:$G$83</c:f>
              <c:numCache>
                <c:formatCode>0.00</c:formatCode>
                <c:ptCount val="5"/>
                <c:pt idx="0">
                  <c:v>47.26</c:v>
                </c:pt>
                <c:pt idx="1">
                  <c:v>48.33</c:v>
                </c:pt>
                <c:pt idx="2">
                  <c:v>49.02</c:v>
                </c:pt>
                <c:pt idx="3">
                  <c:v>51.44</c:v>
                </c:pt>
                <c:pt idx="4">
                  <c:v>50.62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D-4B16-BBA5-060253FEA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043008"/>
        <c:axId val="80053376"/>
      </c:lineChart>
      <c:catAx>
        <c:axId val="80043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4016270775496386"/>
              <c:y val="0.859780146917065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005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053376"/>
        <c:scaling>
          <c:orientation val="minMax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Days</a:t>
                </a:r>
              </a:p>
            </c:rich>
          </c:tx>
          <c:layout>
            <c:manualLayout>
              <c:xMode val="edge"/>
              <c:yMode val="edge"/>
              <c:x val="3.2454393198522676E-2"/>
              <c:y val="0.428045051684032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0043008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18943251362096"/>
          <c:y val="0.41328487748803172"/>
          <c:w val="0.18458436131659775"/>
          <c:h val="0.1586718726070121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Inventory Turnover Ratio</a:t>
            </a:r>
          </a:p>
        </c:rich>
      </c:tx>
      <c:layout>
        <c:manualLayout>
          <c:xMode val="edge"/>
          <c:yMode val="edge"/>
          <c:x val="0.30223153666124236"/>
          <c:y val="3.6900435490002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15836769298275"/>
          <c:y val="0.23985283068501839"/>
          <c:w val="0.62271866949665389"/>
          <c:h val="0.50553596621303876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Analysis'!$B$106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Analysis'!$C$105:$G$105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Analysis'!$C$106:$G$106</c:f>
              <c:numCache>
                <c:formatCode>0.00</c:formatCode>
                <c:ptCount val="5"/>
                <c:pt idx="0">
                  <c:v>3.96</c:v>
                </c:pt>
                <c:pt idx="1">
                  <c:v>3.44</c:v>
                </c:pt>
                <c:pt idx="2">
                  <c:v>3.72</c:v>
                </c:pt>
                <c:pt idx="3">
                  <c:v>3.09</c:v>
                </c:pt>
                <c:pt idx="4">
                  <c:v>3.1592592592592594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0-4417-AF71-E59E0F68780C}"/>
            </c:ext>
          </c:extLst>
        </c:ser>
        <c:ser>
          <c:idx val="1"/>
          <c:order val="1"/>
          <c:tx>
            <c:strRef>
              <c:f>'4 - Industry Trend Analysis'!$B$107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Analysis'!$C$105:$G$105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Analysis'!$C$107:$G$107</c:f>
              <c:numCache>
                <c:formatCode>0.00</c:formatCode>
                <c:ptCount val="5"/>
                <c:pt idx="0">
                  <c:v>3.8</c:v>
                </c:pt>
                <c:pt idx="1">
                  <c:v>3.69</c:v>
                </c:pt>
                <c:pt idx="2">
                  <c:v>3.74</c:v>
                </c:pt>
                <c:pt idx="3">
                  <c:v>3.97</c:v>
                </c:pt>
                <c:pt idx="4">
                  <c:v>3.88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A0-4417-AF71-E59E0F687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74368"/>
        <c:axId val="81276288"/>
      </c:lineChart>
      <c:catAx>
        <c:axId val="8127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204910945533309"/>
              <c:y val="0.859780146917065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127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276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454393198522676E-2"/>
              <c:y val="0.424355008135032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1274368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18943251362096"/>
          <c:y val="0.41328487748803172"/>
          <c:w val="0.18458436131659775"/>
          <c:h val="0.1586718726070121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Days Held in Inventory</a:t>
            </a:r>
          </a:p>
        </c:rich>
      </c:tx>
      <c:layout>
        <c:manualLayout>
          <c:xMode val="edge"/>
          <c:yMode val="edge"/>
          <c:x val="0.31983805668016196"/>
          <c:y val="3.6764705882352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218623481781379"/>
          <c:y val="0.24264705882352941"/>
          <c:w val="0.59514170040485825"/>
          <c:h val="0.50367647058823539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Analysis'!$B$130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Analysis'!$C$129:$G$129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Analysis'!$C$130:$G$130</c:f>
              <c:numCache>
                <c:formatCode>0.00</c:formatCode>
                <c:ptCount val="5"/>
                <c:pt idx="0">
                  <c:v>109.77</c:v>
                </c:pt>
                <c:pt idx="1">
                  <c:v>111.08</c:v>
                </c:pt>
                <c:pt idx="2">
                  <c:v>116.2</c:v>
                </c:pt>
                <c:pt idx="3">
                  <c:v>117.33</c:v>
                </c:pt>
                <c:pt idx="4">
                  <c:v>113.95076201641265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2-4D9F-8F04-B78796426D93}"/>
            </c:ext>
          </c:extLst>
        </c:ser>
        <c:ser>
          <c:idx val="1"/>
          <c:order val="1"/>
          <c:tx>
            <c:strRef>
              <c:f>'4 - Industry Trend Analysis'!$B$131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Analysis'!$C$129:$G$129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Analysis'!$C$131:$G$131</c:f>
              <c:numCache>
                <c:formatCode>0.00</c:formatCode>
                <c:ptCount val="5"/>
                <c:pt idx="0">
                  <c:v>108</c:v>
                </c:pt>
                <c:pt idx="1">
                  <c:v>114</c:v>
                </c:pt>
                <c:pt idx="2">
                  <c:v>102</c:v>
                </c:pt>
                <c:pt idx="3">
                  <c:v>111</c:v>
                </c:pt>
                <c:pt idx="4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72-4D9F-8F04-B7879642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911616"/>
        <c:axId val="82913536"/>
      </c:lineChart>
      <c:catAx>
        <c:axId val="8291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4736842105263164"/>
              <c:y val="0.86029411764705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2913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291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Days</a:t>
                </a:r>
              </a:p>
            </c:rich>
          </c:tx>
          <c:layout>
            <c:manualLayout>
              <c:xMode val="edge"/>
              <c:yMode val="edge"/>
              <c:x val="3.2388663967611336E-2"/>
              <c:y val="0.4301470588235293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2911616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5951417004048"/>
          <c:y val="0.41544117647058826"/>
          <c:w val="0.18421052631578944"/>
          <c:h val="0.158088235294117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Total Asset Turnover Ratio</a:t>
            </a:r>
          </a:p>
        </c:rich>
      </c:tx>
      <c:layout>
        <c:manualLayout>
          <c:xMode val="edge"/>
          <c:yMode val="edge"/>
          <c:x val="0.28947368421052638"/>
          <c:y val="3.6764705882352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84615384615391"/>
          <c:y val="0.24264705882352941"/>
          <c:w val="0.62348178137651822"/>
          <c:h val="0.50367647058823539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Analysis'!$B$154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Analysis'!$C$153:$G$153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Analysis'!$C$154:$G$154</c:f>
              <c:numCache>
                <c:formatCode>0.00</c:formatCode>
                <c:ptCount val="5"/>
                <c:pt idx="0">
                  <c:v>1.61</c:v>
                </c:pt>
                <c:pt idx="1">
                  <c:v>1.55</c:v>
                </c:pt>
                <c:pt idx="2">
                  <c:v>1.39</c:v>
                </c:pt>
                <c:pt idx="3">
                  <c:v>1.48</c:v>
                </c:pt>
                <c:pt idx="4">
                  <c:v>1.4191145007425305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E-4E44-BC84-BDB3A5229743}"/>
            </c:ext>
          </c:extLst>
        </c:ser>
        <c:ser>
          <c:idx val="1"/>
          <c:order val="1"/>
          <c:tx>
            <c:strRef>
              <c:f>'4 - Industry Trend Analysis'!$B$155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Analysis'!$C$153:$G$153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Analysis'!$C$155:$G$155</c:f>
              <c:numCache>
                <c:formatCode>0.00</c:formatCode>
                <c:ptCount val="5"/>
                <c:pt idx="0">
                  <c:v>1.7</c:v>
                </c:pt>
                <c:pt idx="1">
                  <c:v>1.62</c:v>
                </c:pt>
                <c:pt idx="2">
                  <c:v>1.68</c:v>
                </c:pt>
                <c:pt idx="3">
                  <c:v>1.59</c:v>
                </c:pt>
                <c:pt idx="4">
                  <c:v>1.55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E-4E44-BC84-BDB3A5229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967552"/>
        <c:axId val="80094336"/>
      </c:lineChart>
      <c:catAx>
        <c:axId val="829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319838056680166"/>
              <c:y val="0.86029411764705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0094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094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388663967611336E-2"/>
              <c:y val="0.4264705882352942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2967552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5951417004048"/>
          <c:y val="0.41544117647058826"/>
          <c:w val="0.18421052631578944"/>
          <c:h val="0.158088235294117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Debt Ratio</a:t>
            </a:r>
          </a:p>
        </c:rich>
      </c:tx>
      <c:layout>
        <c:manualLayout>
          <c:xMode val="edge"/>
          <c:yMode val="edge"/>
          <c:x val="0.41414223118337906"/>
          <c:y val="3.663016766171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53565643871614"/>
          <c:y val="0.24175910656731694"/>
          <c:w val="0.62424365578372754"/>
          <c:h val="0.50549631373166248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Analysis'!$B$178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Analysis'!$C$177:$G$177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Analysis'!$C$178:$G$178</c:f>
              <c:numCache>
                <c:formatCode>0.00</c:formatCode>
                <c:ptCount val="5"/>
                <c:pt idx="0">
                  <c:v>0.61</c:v>
                </c:pt>
                <c:pt idx="1">
                  <c:v>0.67</c:v>
                </c:pt>
                <c:pt idx="2">
                  <c:v>0.51</c:v>
                </c:pt>
                <c:pt idx="3">
                  <c:v>0.64</c:v>
                </c:pt>
                <c:pt idx="4">
                  <c:v>0.58032726828672609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7DE-8DF4-193F1FE1D392}"/>
            </c:ext>
          </c:extLst>
        </c:ser>
        <c:ser>
          <c:idx val="1"/>
          <c:order val="1"/>
          <c:tx>
            <c:strRef>
              <c:f>'4 - Industry Trend Analysis'!$B$179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Analysis'!$C$177:$G$177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Analysis'!$C$179:$G$179</c:f>
              <c:numCache>
                <c:formatCode>0.00</c:formatCode>
                <c:ptCount val="5"/>
                <c:pt idx="0">
                  <c:v>0.65</c:v>
                </c:pt>
                <c:pt idx="1">
                  <c:v>0.61</c:v>
                </c:pt>
                <c:pt idx="2">
                  <c:v>0.63</c:v>
                </c:pt>
                <c:pt idx="3">
                  <c:v>0.72</c:v>
                </c:pt>
                <c:pt idx="4">
                  <c:v>0.69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EB-47DE-8DF4-193F1FE1D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27872"/>
        <c:axId val="85721088"/>
      </c:lineChart>
      <c:catAx>
        <c:axId val="8012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232408523533239"/>
              <c:y val="0.86080894005029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5721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721088"/>
        <c:scaling>
          <c:orientation val="minMax"/>
          <c:min val="0.3000000000000000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323296092361294E-2"/>
              <c:y val="0.428572961642061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0127872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000157828594198"/>
          <c:y val="0.41758391134354744"/>
          <c:w val="0.18383874652530491"/>
          <c:h val="0.157509720945373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Debt to Equity Ratio</a:t>
            </a:r>
          </a:p>
        </c:rich>
      </c:tx>
      <c:layout>
        <c:manualLayout>
          <c:xMode val="edge"/>
          <c:yMode val="edge"/>
          <c:x val="0.34072614187537592"/>
          <c:y val="3.64964154033406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22595729306845"/>
          <c:y val="0.24087634166204822"/>
          <c:w val="0.62500061527435835"/>
          <c:h val="0.50730017410643469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Analysis'!$B$202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Analysis'!$C$201:$G$201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Analysis'!$C$202:$G$202</c:f>
              <c:numCache>
                <c:formatCode>0.00</c:formatCode>
                <c:ptCount val="5"/>
                <c:pt idx="0">
                  <c:v>1.36</c:v>
                </c:pt>
                <c:pt idx="1">
                  <c:v>1.3</c:v>
                </c:pt>
                <c:pt idx="2">
                  <c:v>1.44</c:v>
                </c:pt>
                <c:pt idx="3">
                  <c:v>1.33</c:v>
                </c:pt>
                <c:pt idx="4">
                  <c:v>1.3828090901155179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FB-4CE1-A3ED-B180240604A9}"/>
            </c:ext>
          </c:extLst>
        </c:ser>
        <c:ser>
          <c:idx val="1"/>
          <c:order val="1"/>
          <c:tx>
            <c:strRef>
              <c:f>'4 - Industry Trend Analysis'!$B$203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Analysis'!$C$201:$G$201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Analysis'!$C$203:$G$203</c:f>
              <c:numCache>
                <c:formatCode>0.00</c:formatCode>
                <c:ptCount val="5"/>
                <c:pt idx="0">
                  <c:v>1.4</c:v>
                </c:pt>
                <c:pt idx="1">
                  <c:v>1.48</c:v>
                </c:pt>
                <c:pt idx="2">
                  <c:v>1.41</c:v>
                </c:pt>
                <c:pt idx="3">
                  <c:v>1.44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FB-4CE1-A3ED-B18024060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54624"/>
        <c:axId val="85756544"/>
      </c:lineChart>
      <c:catAx>
        <c:axId val="8575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346816865802268"/>
              <c:y val="0.861315403518839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575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75654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Ratio</a:t>
                </a:r>
              </a:p>
            </c:rich>
          </c:tx>
          <c:layout>
            <c:manualLayout>
              <c:xMode val="edge"/>
              <c:yMode val="edge"/>
              <c:x val="3.2258096272224944E-2"/>
              <c:y val="0.4270080602190855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5754624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040401375458159"/>
          <c:y val="0.41605913559808322"/>
          <c:w val="0.18346792254827937"/>
          <c:h val="0.1569345862343647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Gross Profit Margin</a:t>
            </a:r>
          </a:p>
        </c:rich>
      </c:tx>
      <c:layout>
        <c:manualLayout>
          <c:xMode val="edge"/>
          <c:yMode val="edge"/>
          <c:x val="0.34677453492641819"/>
          <c:y val="3.64964154033406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22595729306845"/>
          <c:y val="0.24087634166204822"/>
          <c:w val="0.62500061527435835"/>
          <c:h val="0.50730017410643469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Analysis'!$B$226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Analysis'!$C$225:$G$225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Analysis'!$C$226:$G$226</c:f>
              <c:numCache>
                <c:formatCode>0.00</c:formatCode>
                <c:ptCount val="5"/>
                <c:pt idx="0">
                  <c:v>0.28999999999999998</c:v>
                </c:pt>
                <c:pt idx="1">
                  <c:v>0.31</c:v>
                </c:pt>
                <c:pt idx="2">
                  <c:v>0.23</c:v>
                </c:pt>
                <c:pt idx="3">
                  <c:v>0.28000000000000003</c:v>
                </c:pt>
                <c:pt idx="4">
                  <c:v>0.24352607307555871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8-41C0-B032-4CEE4D0030E1}"/>
            </c:ext>
          </c:extLst>
        </c:ser>
        <c:ser>
          <c:idx val="1"/>
          <c:order val="1"/>
          <c:tx>
            <c:strRef>
              <c:f>'4 - Industry Trend Analysis'!$B$227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Analysis'!$C$225:$G$225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Analysis'!$C$227:$G$227</c:f>
              <c:numCache>
                <c:formatCode>0.00</c:formatCode>
                <c:ptCount val="5"/>
                <c:pt idx="0">
                  <c:v>0.22</c:v>
                </c:pt>
                <c:pt idx="1">
                  <c:v>0.28000000000000003</c:v>
                </c:pt>
                <c:pt idx="2">
                  <c:v>0.2</c:v>
                </c:pt>
                <c:pt idx="3">
                  <c:v>0.28000000000000003</c:v>
                </c:pt>
                <c:pt idx="4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8-41C0-B032-4CEE4D003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99520"/>
        <c:axId val="87901696"/>
      </c:lineChart>
      <c:catAx>
        <c:axId val="8789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3346816865802268"/>
              <c:y val="0.861315403518839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90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901696"/>
        <c:scaling>
          <c:orientation val="minMax"/>
          <c:max val="0.34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Margin</a:t>
                </a:r>
              </a:p>
            </c:rich>
          </c:tx>
          <c:layout>
            <c:manualLayout>
              <c:xMode val="edge"/>
              <c:yMode val="edge"/>
              <c:x val="3.2258096272224944E-2"/>
              <c:y val="0.4051102109770811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99520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040401375458159"/>
          <c:y val="0.41605913559808322"/>
          <c:w val="0.18346792254827937"/>
          <c:h val="0.1569345862343647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Operating Margin</a:t>
            </a:r>
          </a:p>
        </c:rich>
      </c:tx>
      <c:layout>
        <c:manualLayout>
          <c:xMode val="edge"/>
          <c:yMode val="edge"/>
          <c:x val="0.3641851106639839"/>
          <c:y val="3.6363636363636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9657947686117"/>
          <c:y val="0.24363636363636368"/>
          <c:w val="0.60563380281690149"/>
          <c:h val="0.49818181818181823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Analysis'!$B$250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Analysis'!$C$249:$G$249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Analysis'!$C$250:$G$250</c:f>
              <c:numCache>
                <c:formatCode>0.00</c:formatCode>
                <c:ptCount val="5"/>
                <c:pt idx="0">
                  <c:v>7.0000000000000007E-2</c:v>
                </c:pt>
                <c:pt idx="1">
                  <c:v>0.11</c:v>
                </c:pt>
                <c:pt idx="2">
                  <c:v>0.08</c:v>
                </c:pt>
                <c:pt idx="3">
                  <c:v>0.14000000000000001</c:v>
                </c:pt>
                <c:pt idx="4">
                  <c:v>0.10216388790351189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C-480F-9422-6D18DA106F85}"/>
            </c:ext>
          </c:extLst>
        </c:ser>
        <c:ser>
          <c:idx val="1"/>
          <c:order val="1"/>
          <c:tx>
            <c:strRef>
              <c:f>'4 - Industry Trend Analysis'!$B$251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Analysis'!$C$249:$G$249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Analysis'!$C$251:$G$251</c:f>
              <c:numCache>
                <c:formatCode>0.00</c:formatCode>
                <c:ptCount val="5"/>
                <c:pt idx="0">
                  <c:v>0.14000000000000001</c:v>
                </c:pt>
                <c:pt idx="1">
                  <c:v>0.08</c:v>
                </c:pt>
                <c:pt idx="2">
                  <c:v>0.09</c:v>
                </c:pt>
                <c:pt idx="3">
                  <c:v>0.11</c:v>
                </c:pt>
                <c:pt idx="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C-480F-9422-6D18DA106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918848"/>
        <c:axId val="87826816"/>
      </c:lineChart>
      <c:catAx>
        <c:axId val="8791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2655935613682094"/>
              <c:y val="0.858181818181818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2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826816"/>
        <c:scaling>
          <c:orientation val="minMax"/>
          <c:max val="0.15000000000000002"/>
          <c:min val="0.0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Margin</a:t>
                </a:r>
              </a:p>
            </c:rich>
          </c:tx>
          <c:layout>
            <c:manualLayout>
              <c:xMode val="edge"/>
              <c:yMode val="edge"/>
              <c:x val="3.2193158953722344E-2"/>
              <c:y val="0.39636363636363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918848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873239436619713"/>
          <c:y val="0.41090909090909095"/>
          <c:w val="0.19517102615694165"/>
          <c:h val="0.163636363636363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Return on Sales</a:t>
            </a:r>
          </a:p>
        </c:rich>
      </c:tx>
      <c:layout>
        <c:manualLayout>
          <c:xMode val="edge"/>
          <c:yMode val="edge"/>
          <c:x val="0.37148667224890247"/>
          <c:y val="3.6232012256610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64288529682266"/>
          <c:y val="0.24275448211928971"/>
          <c:w val="0.60642689199550559"/>
          <c:h val="0.50000176914122341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Analysis'!$B$274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Analysis'!$C$273:$G$273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Analysis'!$C$274:$G$274</c:f>
              <c:numCache>
                <c:formatCode>0.00</c:formatCode>
                <c:ptCount val="5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0.04</c:v>
                </c:pt>
                <c:pt idx="4">
                  <c:v>4.4483859524654133E-2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3-4003-8C32-64015094073C}"/>
            </c:ext>
          </c:extLst>
        </c:ser>
        <c:ser>
          <c:idx val="1"/>
          <c:order val="1"/>
          <c:tx>
            <c:strRef>
              <c:f>'4 - Industry Trend Analysis'!$B$275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Analysis'!$C$273:$G$273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Analysis'!$C$275:$G$275</c:f>
              <c:numCache>
                <c:formatCode>0.00</c:formatCode>
                <c:ptCount val="5"/>
                <c:pt idx="0">
                  <c:v>7.0000000000000007E-2</c:v>
                </c:pt>
                <c:pt idx="1">
                  <c:v>0.08</c:v>
                </c:pt>
                <c:pt idx="2">
                  <c:v>0.05</c:v>
                </c:pt>
                <c:pt idx="3">
                  <c:v>0.06</c:v>
                </c:pt>
                <c:pt idx="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33-4003-8C32-640150940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76736"/>
        <c:axId val="87878656"/>
      </c:lineChart>
      <c:catAx>
        <c:axId val="87876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2771168210279031"/>
              <c:y val="0.858698690481666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78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878656"/>
        <c:scaling>
          <c:orientation val="minMax"/>
          <c:max val="0.1"/>
          <c:min val="3.0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</a:t>
                </a:r>
              </a:p>
            </c:rich>
          </c:tx>
          <c:layout>
            <c:manualLayout>
              <c:xMode val="edge"/>
              <c:yMode val="edge"/>
              <c:x val="3.2128577059364533E-2"/>
              <c:y val="0.39855213482271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76736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15817402064103"/>
          <c:y val="0.41304493972535855"/>
          <c:w val="0.1947794984223975"/>
          <c:h val="0.163044055154746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Return on Investment</a:t>
            </a:r>
          </a:p>
        </c:rich>
      </c:tx>
      <c:layout>
        <c:manualLayout>
          <c:xMode val="edge"/>
          <c:yMode val="edge"/>
          <c:x val="0.33066164620417227"/>
          <c:y val="3.6101146669722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32079815959865"/>
          <c:y val="0.24187768268713811"/>
          <c:w val="0.60721502302948005"/>
          <c:h val="0.50180593870913737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Analysis'!$B$298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Analysis'!$C$297:$G$297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Analysis'!$C$298:$G$298</c:f>
              <c:numCache>
                <c:formatCode>0.00</c:formatCode>
                <c:ptCount val="5"/>
                <c:pt idx="0">
                  <c:v>0.09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0.1</c:v>
                </c:pt>
                <c:pt idx="4">
                  <c:v>6.3127690100430414E-2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A-44CD-803F-59904BBF005B}"/>
            </c:ext>
          </c:extLst>
        </c:ser>
        <c:ser>
          <c:idx val="1"/>
          <c:order val="1"/>
          <c:tx>
            <c:strRef>
              <c:f>'4 - Industry Trend Analysis'!$B$299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Analysis'!$C$297:$G$297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Analysis'!$C$299:$G$299</c:f>
              <c:numCache>
                <c:formatCode>0.00</c:formatCode>
                <c:ptCount val="5"/>
                <c:pt idx="0">
                  <c:v>7.0000000000000007E-2</c:v>
                </c:pt>
                <c:pt idx="1">
                  <c:v>0.11</c:v>
                </c:pt>
                <c:pt idx="2">
                  <c:v>0.1</c:v>
                </c:pt>
                <c:pt idx="3">
                  <c:v>0.09</c:v>
                </c:pt>
                <c:pt idx="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A-44CD-803F-59904BBF0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982080"/>
        <c:axId val="87984000"/>
      </c:lineChart>
      <c:catAx>
        <c:axId val="879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2685412509993154"/>
              <c:y val="0.859207290739386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984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984000"/>
        <c:scaling>
          <c:orientation val="minMax"/>
          <c:max val="0.15000000000000002"/>
          <c:min val="0.0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</a:t>
                </a:r>
              </a:p>
            </c:rich>
          </c:tx>
          <c:layout>
            <c:manualLayout>
              <c:xMode val="edge"/>
              <c:yMode val="edge"/>
              <c:x val="3.2064159631919734E-2"/>
              <c:y val="0.397112613366943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982080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5799309360233"/>
          <c:y val="0.41155307203483205"/>
          <c:w val="0.19438896776851333"/>
          <c:h val="0.162455160013749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Return on Equity</a:t>
            </a:r>
          </a:p>
        </c:rich>
      </c:tx>
      <c:layout>
        <c:manualLayout>
          <c:xMode val="edge"/>
          <c:yMode val="edge"/>
          <c:x val="0.3660000000000001"/>
          <c:y val="3.59712230215827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"/>
          <c:y val="0.24100719424460434"/>
          <c:w val="0.6080000000000001"/>
          <c:h val="0.50359712230215814"/>
        </c:manualLayout>
      </c:layout>
      <c:lineChart>
        <c:grouping val="standard"/>
        <c:varyColors val="0"/>
        <c:ser>
          <c:idx val="0"/>
          <c:order val="0"/>
          <c:tx>
            <c:strRef>
              <c:f>'4 - Industry Trend Analysis'!$B$323</c:f>
              <c:strCache>
                <c:ptCount val="1"/>
                <c:pt idx="0">
                  <c:v>Company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Analysis'!$C$322:$G$322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Analysis'!$C$323:$G$323</c:f>
              <c:numCache>
                <c:formatCode>0.00</c:formatCode>
                <c:ptCount val="5"/>
                <c:pt idx="0">
                  <c:v>0.22</c:v>
                </c:pt>
                <c:pt idx="1">
                  <c:v>0.2</c:v>
                </c:pt>
                <c:pt idx="2">
                  <c:v>0.24</c:v>
                </c:pt>
                <c:pt idx="3">
                  <c:v>0.19</c:v>
                </c:pt>
                <c:pt idx="4">
                  <c:v>0.21808695652173912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9-4606-BB4F-2C2E7AD4E4A4}"/>
            </c:ext>
          </c:extLst>
        </c:ser>
        <c:ser>
          <c:idx val="1"/>
          <c:order val="1"/>
          <c:tx>
            <c:strRef>
              <c:f>'4 - Industry Trend Analysis'!$B$324</c:f>
              <c:strCache>
                <c:ptCount val="1"/>
                <c:pt idx="0">
                  <c:v>Industry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'4 - Industry Trend Analysis'!$C$322:$G$322</c:f>
              <c:numCache>
                <c:formatCode>General</c:formatCode>
                <c:ptCount val="5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</c:numCache>
            </c:numRef>
          </c:cat>
          <c:val>
            <c:numRef>
              <c:f>'4 - Industry Trend Analysis'!$C$324:$G$324</c:f>
              <c:numCache>
                <c:formatCode>0.00</c:formatCode>
                <c:ptCount val="5"/>
                <c:pt idx="0">
                  <c:v>0.28000000000000003</c:v>
                </c:pt>
                <c:pt idx="1">
                  <c:v>0.22</c:v>
                </c:pt>
                <c:pt idx="2">
                  <c:v>0.23</c:v>
                </c:pt>
                <c:pt idx="3">
                  <c:v>0.26</c:v>
                </c:pt>
                <c:pt idx="4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69-4606-BB4F-2C2E7AD4E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005632"/>
        <c:axId val="93025408"/>
      </c:lineChart>
      <c:catAx>
        <c:axId val="8800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4280000000000001"/>
              <c:y val="0.859712230215827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302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3025408"/>
        <c:scaling>
          <c:orientation val="minMax"/>
          <c:max val="0.32000000000000006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Return</a:t>
                </a:r>
              </a:p>
            </c:rich>
          </c:tx>
          <c:layout>
            <c:manualLayout>
              <c:xMode val="edge"/>
              <c:yMode val="edge"/>
              <c:x val="3.2000000000000008E-2"/>
              <c:y val="0.3992805755395684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8005632"/>
        <c:crosses val="autoZero"/>
        <c:crossBetween val="between"/>
      </c:valAx>
      <c:spPr>
        <a:solidFill>
          <a:srgbClr val="FFFF99"/>
        </a:solidFill>
        <a:ln w="12700">
          <a:solidFill>
            <a:srgbClr val="FFFF99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"/>
          <c:y val="0.41366906474820142"/>
          <c:w val="0.19400000000000001"/>
          <c:h val="0.161870503597122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89" l="0.78740157499999996" r="0.78740157499999996" t="0.98425196899999989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19050</xdr:rowOff>
    </xdr:from>
    <xdr:to>
      <xdr:col>8</xdr:col>
      <xdr:colOff>428625</xdr:colOff>
      <xdr:row>27</xdr:row>
      <xdr:rowOff>142875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36</xdr:row>
      <xdr:rowOff>28575</xdr:rowOff>
    </xdr:from>
    <xdr:to>
      <xdr:col>8</xdr:col>
      <xdr:colOff>428625</xdr:colOff>
      <xdr:row>52</xdr:row>
      <xdr:rowOff>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8</xdr:col>
      <xdr:colOff>419100</xdr:colOff>
      <xdr:row>75</xdr:row>
      <xdr:rowOff>142875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84</xdr:row>
      <xdr:rowOff>0</xdr:rowOff>
    </xdr:from>
    <xdr:to>
      <xdr:col>8</xdr:col>
      <xdr:colOff>428625</xdr:colOff>
      <xdr:row>99</xdr:row>
      <xdr:rowOff>152400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4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8</xdr:col>
      <xdr:colOff>428625</xdr:colOff>
      <xdr:row>123</xdr:row>
      <xdr:rowOff>152400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4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132</xdr:row>
      <xdr:rowOff>0</xdr:rowOff>
    </xdr:from>
    <xdr:to>
      <xdr:col>8</xdr:col>
      <xdr:colOff>438150</xdr:colOff>
      <xdr:row>148</xdr:row>
      <xdr:rowOff>0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4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8</xdr:col>
      <xdr:colOff>438150</xdr:colOff>
      <xdr:row>172</xdr:row>
      <xdr:rowOff>0</xdr:rowOff>
    </xdr:to>
    <xdr:graphicFrame macro="">
      <xdr:nvGraphicFramePr>
        <xdr:cNvPr id="1032" name="Chart 8">
          <a:extLst>
            <a:ext uri="{FF2B5EF4-FFF2-40B4-BE49-F238E27FC236}">
              <a16:creationId xmlns:a16="http://schemas.microsoft.com/office/drawing/2014/main" id="{00000000-0008-0000-04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8</xdr:col>
      <xdr:colOff>447675</xdr:colOff>
      <xdr:row>196</xdr:row>
      <xdr:rowOff>9525</xdr:rowOff>
    </xdr:to>
    <xdr:graphicFrame macro="">
      <xdr:nvGraphicFramePr>
        <xdr:cNvPr id="1033" name="Chart 9">
          <a:extLst>
            <a:ext uri="{FF2B5EF4-FFF2-40B4-BE49-F238E27FC236}">
              <a16:creationId xmlns:a16="http://schemas.microsoft.com/office/drawing/2014/main" id="{00000000-0008-0000-0400-00000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204</xdr:row>
      <xdr:rowOff>0</xdr:rowOff>
    </xdr:from>
    <xdr:to>
      <xdr:col>8</xdr:col>
      <xdr:colOff>457200</xdr:colOff>
      <xdr:row>220</xdr:row>
      <xdr:rowOff>19050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4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228</xdr:row>
      <xdr:rowOff>0</xdr:rowOff>
    </xdr:from>
    <xdr:to>
      <xdr:col>8</xdr:col>
      <xdr:colOff>457200</xdr:colOff>
      <xdr:row>244</xdr:row>
      <xdr:rowOff>19050</xdr:rowOff>
    </xdr:to>
    <xdr:graphicFrame macro="">
      <xdr:nvGraphicFramePr>
        <xdr:cNvPr id="1035" name="Chart 11">
          <a:extLst>
            <a:ext uri="{FF2B5EF4-FFF2-40B4-BE49-F238E27FC236}">
              <a16:creationId xmlns:a16="http://schemas.microsoft.com/office/drawing/2014/main" id="{00000000-0008-0000-04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252</xdr:row>
      <xdr:rowOff>0</xdr:rowOff>
    </xdr:from>
    <xdr:to>
      <xdr:col>8</xdr:col>
      <xdr:colOff>466725</xdr:colOff>
      <xdr:row>268</xdr:row>
      <xdr:rowOff>28575</xdr:rowOff>
    </xdr:to>
    <xdr:graphicFrame macro="">
      <xdr:nvGraphicFramePr>
        <xdr:cNvPr id="1036" name="Chart 12">
          <a:extLst>
            <a:ext uri="{FF2B5EF4-FFF2-40B4-BE49-F238E27FC236}">
              <a16:creationId xmlns:a16="http://schemas.microsoft.com/office/drawing/2014/main" id="{00000000-0008-0000-04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276</xdr:row>
      <xdr:rowOff>0</xdr:rowOff>
    </xdr:from>
    <xdr:to>
      <xdr:col>8</xdr:col>
      <xdr:colOff>476250</xdr:colOff>
      <xdr:row>292</xdr:row>
      <xdr:rowOff>38100</xdr:rowOff>
    </xdr:to>
    <xdr:graphicFrame macro="">
      <xdr:nvGraphicFramePr>
        <xdr:cNvPr id="1037" name="Chart 13">
          <a:extLst>
            <a:ext uri="{FF2B5EF4-FFF2-40B4-BE49-F238E27FC236}">
              <a16:creationId xmlns:a16="http://schemas.microsoft.com/office/drawing/2014/main" id="{00000000-0008-0000-0400-00000D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300</xdr:row>
      <xdr:rowOff>0</xdr:rowOff>
    </xdr:from>
    <xdr:to>
      <xdr:col>8</xdr:col>
      <xdr:colOff>485775</xdr:colOff>
      <xdr:row>316</xdr:row>
      <xdr:rowOff>47625</xdr:rowOff>
    </xdr:to>
    <xdr:graphicFrame macro="">
      <xdr:nvGraphicFramePr>
        <xdr:cNvPr id="1038" name="Chart 14">
          <a:extLst>
            <a:ext uri="{FF2B5EF4-FFF2-40B4-BE49-F238E27FC236}">
              <a16:creationId xmlns:a16="http://schemas.microsoft.com/office/drawing/2014/main" id="{00000000-0008-0000-0400-00000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325</xdr:row>
      <xdr:rowOff>0</xdr:rowOff>
    </xdr:from>
    <xdr:to>
      <xdr:col>8</xdr:col>
      <xdr:colOff>495300</xdr:colOff>
      <xdr:row>341</xdr:row>
      <xdr:rowOff>57150</xdr:rowOff>
    </xdr:to>
    <xdr:graphicFrame macro="">
      <xdr:nvGraphicFramePr>
        <xdr:cNvPr id="1039" name="Chart 15">
          <a:extLst>
            <a:ext uri="{FF2B5EF4-FFF2-40B4-BE49-F238E27FC236}">
              <a16:creationId xmlns:a16="http://schemas.microsoft.com/office/drawing/2014/main" id="{00000000-0008-0000-04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19</xdr:row>
      <xdr:rowOff>47625</xdr:rowOff>
    </xdr:from>
    <xdr:to>
      <xdr:col>3</xdr:col>
      <xdr:colOff>561975</xdr:colOff>
      <xdr:row>20</xdr:row>
      <xdr:rowOff>133350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rrowheads="1"/>
        </xdr:cNvSpPr>
      </xdr:nvSpPr>
      <xdr:spPr bwMode="auto">
        <a:xfrm>
          <a:off x="2085975" y="3152775"/>
          <a:ext cx="304800" cy="2476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266700</xdr:colOff>
      <xdr:row>15</xdr:row>
      <xdr:rowOff>47625</xdr:rowOff>
    </xdr:from>
    <xdr:to>
      <xdr:col>5</xdr:col>
      <xdr:colOff>571500</xdr:colOff>
      <xdr:row>16</xdr:row>
      <xdr:rowOff>133350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rrowheads="1"/>
        </xdr:cNvSpPr>
      </xdr:nvSpPr>
      <xdr:spPr bwMode="auto">
        <a:xfrm>
          <a:off x="3333750" y="2505075"/>
          <a:ext cx="304800" cy="2476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276225</xdr:colOff>
      <xdr:row>19</xdr:row>
      <xdr:rowOff>47625</xdr:rowOff>
    </xdr:from>
    <xdr:to>
      <xdr:col>7</xdr:col>
      <xdr:colOff>581025</xdr:colOff>
      <xdr:row>20</xdr:row>
      <xdr:rowOff>133350</xdr:rowOff>
    </xdr:to>
    <xdr:sp macro="" textlink="">
      <xdr:nvSpPr>
        <xdr:cNvPr id="3077" name="AutoShape 5"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rrowheads="1"/>
        </xdr:cNvSpPr>
      </xdr:nvSpPr>
      <xdr:spPr bwMode="auto">
        <a:xfrm>
          <a:off x="4600575" y="3152775"/>
          <a:ext cx="304800" cy="2476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38100</xdr:colOff>
      <xdr:row>15</xdr:row>
      <xdr:rowOff>47625</xdr:rowOff>
    </xdr:from>
    <xdr:to>
      <xdr:col>8</xdr:col>
      <xdr:colOff>342900</xdr:colOff>
      <xdr:row>16</xdr:row>
      <xdr:rowOff>133350</xdr:rowOff>
    </xdr:to>
    <xdr:sp macro="" textlink="">
      <xdr:nvSpPr>
        <xdr:cNvPr id="3078" name="AutoShape 6"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rrowheads="1"/>
        </xdr:cNvSpPr>
      </xdr:nvSpPr>
      <xdr:spPr bwMode="auto">
        <a:xfrm flipH="1">
          <a:off x="4972050" y="2505075"/>
          <a:ext cx="304800" cy="2476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28575</xdr:colOff>
      <xdr:row>19</xdr:row>
      <xdr:rowOff>47625</xdr:rowOff>
    </xdr:from>
    <xdr:to>
      <xdr:col>6</xdr:col>
      <xdr:colOff>333375</xdr:colOff>
      <xdr:row>20</xdr:row>
      <xdr:rowOff>133350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rrowheads="1"/>
        </xdr:cNvSpPr>
      </xdr:nvSpPr>
      <xdr:spPr bwMode="auto">
        <a:xfrm flipH="1">
          <a:off x="3705225" y="3152775"/>
          <a:ext cx="304800" cy="2476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38100</xdr:colOff>
      <xdr:row>19</xdr:row>
      <xdr:rowOff>47625</xdr:rowOff>
    </xdr:from>
    <xdr:to>
      <xdr:col>10</xdr:col>
      <xdr:colOff>342900</xdr:colOff>
      <xdr:row>20</xdr:row>
      <xdr:rowOff>133350</xdr:rowOff>
    </xdr:to>
    <xdr:sp macro="" textlink="">
      <xdr:nvSpPr>
        <xdr:cNvPr id="3080" name="AutoShape 8"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rrowheads="1"/>
        </xdr:cNvSpPr>
      </xdr:nvSpPr>
      <xdr:spPr bwMode="auto">
        <a:xfrm flipH="1">
          <a:off x="6191250" y="3152775"/>
          <a:ext cx="304800" cy="2476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457200</xdr:colOff>
      <xdr:row>26</xdr:row>
      <xdr:rowOff>9525</xdr:rowOff>
    </xdr:from>
    <xdr:to>
      <xdr:col>6</xdr:col>
      <xdr:colOff>200025</xdr:colOff>
      <xdr:row>36</xdr:row>
      <xdr:rowOff>142875</xdr:rowOff>
    </xdr:to>
    <xdr:sp macro="" textlink="">
      <xdr:nvSpPr>
        <xdr:cNvPr id="3081" name="AutoShape 9"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rrowheads="1"/>
        </xdr:cNvSpPr>
      </xdr:nvSpPr>
      <xdr:spPr bwMode="auto">
        <a:xfrm>
          <a:off x="2286000" y="4248150"/>
          <a:ext cx="1590675" cy="1752600"/>
        </a:xfrm>
        <a:prstGeom prst="foldedCorner">
          <a:avLst>
            <a:gd name="adj" fmla="val 125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447675</xdr:colOff>
      <xdr:row>26</xdr:row>
      <xdr:rowOff>9525</xdr:rowOff>
    </xdr:from>
    <xdr:to>
      <xdr:col>12</xdr:col>
      <xdr:colOff>209550</xdr:colOff>
      <xdr:row>36</xdr:row>
      <xdr:rowOff>142875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rrowheads="1"/>
        </xdr:cNvSpPr>
      </xdr:nvSpPr>
      <xdr:spPr bwMode="auto">
        <a:xfrm>
          <a:off x="5991225" y="4248150"/>
          <a:ext cx="1590675" cy="1752600"/>
        </a:xfrm>
        <a:prstGeom prst="foldedCorner">
          <a:avLst>
            <a:gd name="adj" fmla="val 125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514350</xdr:colOff>
      <xdr:row>25</xdr:row>
      <xdr:rowOff>28575</xdr:rowOff>
    </xdr:from>
    <xdr:to>
      <xdr:col>5</xdr:col>
      <xdr:colOff>114300</xdr:colOff>
      <xdr:row>25</xdr:row>
      <xdr:rowOff>152400</xdr:rowOff>
    </xdr:to>
    <xdr:sp macro="" textlink="">
      <xdr:nvSpPr>
        <xdr:cNvPr id="3083" name="AutoShape 11"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rrowheads="1"/>
        </xdr:cNvSpPr>
      </xdr:nvSpPr>
      <xdr:spPr bwMode="auto">
        <a:xfrm>
          <a:off x="2952750" y="4105275"/>
          <a:ext cx="228600" cy="123825"/>
        </a:xfrm>
        <a:prstGeom prst="upArrow">
          <a:avLst>
            <a:gd name="adj1" fmla="val 50000"/>
            <a:gd name="adj2" fmla="val 25000"/>
          </a:avLst>
        </a:pr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28575</xdr:colOff>
      <xdr:row>12</xdr:row>
      <xdr:rowOff>19050</xdr:rowOff>
    </xdr:from>
    <xdr:to>
      <xdr:col>7</xdr:col>
      <xdr:colOff>257175</xdr:colOff>
      <xdr:row>12</xdr:row>
      <xdr:rowOff>142875</xdr:rowOff>
    </xdr:to>
    <xdr:sp macro="" textlink="">
      <xdr:nvSpPr>
        <xdr:cNvPr id="3085" name="AutoShape 13"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rrowheads="1"/>
        </xdr:cNvSpPr>
      </xdr:nvSpPr>
      <xdr:spPr bwMode="auto">
        <a:xfrm>
          <a:off x="4352925" y="1990725"/>
          <a:ext cx="228600" cy="123825"/>
        </a:xfrm>
        <a:prstGeom prst="upArrow">
          <a:avLst>
            <a:gd name="adj1" fmla="val 50000"/>
            <a:gd name="adj2" fmla="val 25000"/>
          </a:avLst>
        </a:pr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28575</xdr:colOff>
      <xdr:row>8</xdr:row>
      <xdr:rowOff>28575</xdr:rowOff>
    </xdr:from>
    <xdr:to>
      <xdr:col>7</xdr:col>
      <xdr:colOff>257175</xdr:colOff>
      <xdr:row>8</xdr:row>
      <xdr:rowOff>152400</xdr:rowOff>
    </xdr:to>
    <xdr:sp macro="" textlink="">
      <xdr:nvSpPr>
        <xdr:cNvPr id="3086" name="AutoShape 14"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rrowheads="1"/>
        </xdr:cNvSpPr>
      </xdr:nvSpPr>
      <xdr:spPr bwMode="auto">
        <a:xfrm>
          <a:off x="4352925" y="1352550"/>
          <a:ext cx="228600" cy="123825"/>
        </a:xfrm>
        <a:prstGeom prst="upArrow">
          <a:avLst>
            <a:gd name="adj1" fmla="val 50000"/>
            <a:gd name="adj2" fmla="val 25000"/>
          </a:avLst>
        </a:pr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581025</xdr:colOff>
      <xdr:row>25</xdr:row>
      <xdr:rowOff>19050</xdr:rowOff>
    </xdr:from>
    <xdr:to>
      <xdr:col>11</xdr:col>
      <xdr:colOff>200025</xdr:colOff>
      <xdr:row>25</xdr:row>
      <xdr:rowOff>142875</xdr:rowOff>
    </xdr:to>
    <xdr:sp macro="" textlink="">
      <xdr:nvSpPr>
        <xdr:cNvPr id="3087" name="AutoShape 15"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rrowheads="1"/>
        </xdr:cNvSpPr>
      </xdr:nvSpPr>
      <xdr:spPr bwMode="auto">
        <a:xfrm>
          <a:off x="6734175" y="4095750"/>
          <a:ext cx="228600" cy="123825"/>
        </a:xfrm>
        <a:prstGeom prst="upArrow">
          <a:avLst>
            <a:gd name="adj1" fmla="val 50000"/>
            <a:gd name="adj2" fmla="val 25000"/>
          </a:avLst>
        </a:prstGeom>
        <a:solidFill>
          <a:srgbClr val="0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13</xdr:col>
      <xdr:colOff>9525</xdr:colOff>
      <xdr:row>0</xdr:row>
      <xdr:rowOff>19050</xdr:rowOff>
    </xdr:from>
    <xdr:to>
      <xdr:col>14</xdr:col>
      <xdr:colOff>581025</xdr:colOff>
      <xdr:row>5</xdr:row>
      <xdr:rowOff>66675</xdr:rowOff>
    </xdr:to>
    <xdr:pic macro="[0]!PrintTab5">
      <xdr:nvPicPr>
        <xdr:cNvPr id="3094" name="Picture 22" descr="print"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19050"/>
          <a:ext cx="1181100" cy="885825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9525</xdr:rowOff>
    </xdr:from>
    <xdr:to>
      <xdr:col>6</xdr:col>
      <xdr:colOff>704850</xdr:colOff>
      <xdr:row>32</xdr:row>
      <xdr:rowOff>133350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SpPr>
          <a:spLocks noChangeArrowheads="1"/>
        </xdr:cNvSpPr>
      </xdr:nvSpPr>
      <xdr:spPr bwMode="auto">
        <a:xfrm rot="16200000" flipV="1">
          <a:off x="4600575" y="5057775"/>
          <a:ext cx="285750" cy="2857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66675</xdr:colOff>
      <xdr:row>29</xdr:row>
      <xdr:rowOff>57150</xdr:rowOff>
    </xdr:from>
    <xdr:to>
      <xdr:col>17</xdr:col>
      <xdr:colOff>361950</xdr:colOff>
      <xdr:row>30</xdr:row>
      <xdr:rowOff>104775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00000000-0008-0000-0700-000001100000}"/>
            </a:ext>
          </a:extLst>
        </xdr:cNvPr>
        <xdr:cNvSpPr>
          <a:spLocks noChangeArrowheads="1"/>
        </xdr:cNvSpPr>
      </xdr:nvSpPr>
      <xdr:spPr bwMode="auto">
        <a:xfrm>
          <a:off x="10534650" y="4781550"/>
          <a:ext cx="295275" cy="209550"/>
        </a:xfrm>
        <a:custGeom>
          <a:avLst/>
          <a:gdLst>
            <a:gd name="G0" fmla="+- 9257 0 0"/>
            <a:gd name="G1" fmla="+- 18514 0 0"/>
            <a:gd name="G2" fmla="+- 7200 0 0"/>
            <a:gd name="G3" fmla="*/ 9257 1 2"/>
            <a:gd name="G4" fmla="+- G3 10800 0"/>
            <a:gd name="G5" fmla="+- 21600 9257 18514"/>
            <a:gd name="G6" fmla="+- 18514 7200 0"/>
            <a:gd name="G7" fmla="*/ G6 1 2"/>
            <a:gd name="G8" fmla="*/ 18514 2 1"/>
            <a:gd name="G9" fmla="+- G8 0 21600"/>
            <a:gd name="G10" fmla="*/ 21600 G0 G1"/>
            <a:gd name="G11" fmla="*/ 21600 G4 G1"/>
            <a:gd name="G12" fmla="*/ 21600 G5 G1"/>
            <a:gd name="G13" fmla="*/ 21600 G7 G1"/>
            <a:gd name="G14" fmla="*/ 18514 1 2"/>
            <a:gd name="G15" fmla="+- G5 0 G4"/>
            <a:gd name="G16" fmla="+- G0 0 G4"/>
            <a:gd name="G17" fmla="*/ G2 G15 G16"/>
            <a:gd name="T0" fmla="*/ 15429 w 21600"/>
            <a:gd name="T1" fmla="*/ 0 h 21600"/>
            <a:gd name="T2" fmla="*/ 9257 w 21600"/>
            <a:gd name="T3" fmla="*/ 7200 h 21600"/>
            <a:gd name="T4" fmla="*/ 0 w 21600"/>
            <a:gd name="T5" fmla="*/ 18001 h 21600"/>
            <a:gd name="T6" fmla="*/ 9257 w 21600"/>
            <a:gd name="T7" fmla="*/ 21600 h 21600"/>
            <a:gd name="T8" fmla="*/ 18514 w 21600"/>
            <a:gd name="T9" fmla="*/ 15000 h 21600"/>
            <a:gd name="T10" fmla="*/ 21600 w 21600"/>
            <a:gd name="T11" fmla="*/ 720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G12 h 21600"/>
            <a:gd name="T20" fmla="*/ G1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6"/>
  <sheetViews>
    <sheetView workbookViewId="0">
      <selection activeCell="G21" sqref="G21"/>
    </sheetView>
  </sheetViews>
  <sheetFormatPr baseColWidth="10" defaultColWidth="11.453125" defaultRowHeight="12.5" x14ac:dyDescent="0.25"/>
  <cols>
    <col min="11" max="11" width="12.453125" bestFit="1" customWidth="1"/>
  </cols>
  <sheetData>
    <row r="1" spans="1:11" ht="18" x14ac:dyDescent="0.4">
      <c r="C1" s="49" t="s">
        <v>0</v>
      </c>
      <c r="D1" s="49"/>
      <c r="E1" s="49"/>
      <c r="F1" s="49"/>
      <c r="G1" s="49"/>
      <c r="H1" s="49"/>
    </row>
    <row r="4" spans="1:11" x14ac:dyDescent="0.25">
      <c r="A4" s="24" t="s">
        <v>1</v>
      </c>
      <c r="K4" s="47"/>
    </row>
    <row r="9" spans="1:11" ht="13" x14ac:dyDescent="0.3">
      <c r="A9" s="1">
        <v>1</v>
      </c>
      <c r="B9" s="46" t="s">
        <v>2</v>
      </c>
    </row>
    <row r="10" spans="1:11" ht="13" x14ac:dyDescent="0.3">
      <c r="A10" s="1">
        <v>2</v>
      </c>
      <c r="B10" s="46" t="s">
        <v>3</v>
      </c>
    </row>
    <row r="11" spans="1:11" ht="13" x14ac:dyDescent="0.3">
      <c r="A11" s="1">
        <v>3</v>
      </c>
      <c r="B11" s="46" t="s">
        <v>4</v>
      </c>
    </row>
    <row r="12" spans="1:11" ht="13" x14ac:dyDescent="0.3">
      <c r="A12" s="1">
        <v>4</v>
      </c>
      <c r="B12" s="46" t="s">
        <v>5</v>
      </c>
    </row>
    <row r="13" spans="1:11" ht="13" x14ac:dyDescent="0.3">
      <c r="A13" s="1">
        <v>5</v>
      </c>
      <c r="B13" s="46" t="s">
        <v>6</v>
      </c>
    </row>
    <row r="14" spans="1:11" ht="13" x14ac:dyDescent="0.3">
      <c r="A14" s="1">
        <v>6</v>
      </c>
      <c r="B14" s="46" t="s">
        <v>7</v>
      </c>
    </row>
    <row r="15" spans="1:11" ht="13" x14ac:dyDescent="0.3">
      <c r="A15" s="1">
        <v>7</v>
      </c>
      <c r="B15" s="46" t="s">
        <v>8</v>
      </c>
    </row>
    <row r="16" spans="1:11" ht="13" x14ac:dyDescent="0.3">
      <c r="A16" s="1">
        <v>8</v>
      </c>
      <c r="B16" s="46" t="s">
        <v>9</v>
      </c>
    </row>
  </sheetData>
  <mergeCells count="1">
    <mergeCell ref="C1:H1"/>
  </mergeCells>
  <hyperlinks>
    <hyperlink ref="B9" location="'1 - Financial Statements'!A1" display="Financial Statements - Start with a complete set of financial statements" xr:uid="{00000000-0004-0000-0000-000000000000}"/>
    <hyperlink ref="B10" location="'2 - Common Size Statements'!A1" display="Common Size Statements - Express the Financials in terms of common size for ease of analysis" xr:uid="{00000000-0004-0000-0000-000001000000}"/>
    <hyperlink ref="B11" location="'3 - Ratio Analysis'!A1" display="Ratio Analysis - Apply a complete set of ratios to financial statements" xr:uid="{00000000-0004-0000-0000-000002000000}"/>
    <hyperlink ref="B12" location="'4 - Industry Trend Analysis'!A1" display="Industry Trend Analysis - Benchmark your performance against industry standard" xr:uid="{00000000-0004-0000-0000-000003000000}"/>
    <hyperlink ref="B13" location="'5 - ROI Model'!A1" display="ROI Model - Construct a model that explains the sources behind Return on Investment" xr:uid="{00000000-0004-0000-0000-000004000000}"/>
    <hyperlink ref="B14" location="'6 - Cost of Capital'!A1" display="Cost of Capital - Calculate the Weigthed Average Cost of Capital" xr:uid="{00000000-0004-0000-0000-000005000000}"/>
    <hyperlink ref="B15" location="'7 - Economic Analysis'!A1" display="Economic Analysis - Analyze a major investment using economic indicators" xr:uid="{00000000-0004-0000-0000-000006000000}"/>
    <hyperlink ref="B16" location="'8 - Sales Forecast'!A1" display="Sales Forecast - Prepare a sales forecast for next year" xr:uid="{00000000-0004-0000-0000-000007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7"/>
  <sheetViews>
    <sheetView topLeftCell="A72" zoomScale="140" zoomScaleNormal="140" workbookViewId="0">
      <selection activeCell="I75" sqref="I75"/>
    </sheetView>
  </sheetViews>
  <sheetFormatPr baseColWidth="10" defaultColWidth="9.1796875" defaultRowHeight="12.5" x14ac:dyDescent="0.25"/>
  <cols>
    <col min="1" max="1" width="4.453125" customWidth="1"/>
    <col min="2" max="2" width="5.54296875" customWidth="1"/>
    <col min="3" max="3" width="6.453125" customWidth="1"/>
    <col min="4" max="4" width="7.81640625" customWidth="1"/>
    <col min="7" max="7" width="12.453125" customWidth="1"/>
    <col min="8" max="8" width="5.54296875" customWidth="1"/>
    <col min="9" max="9" width="12.1796875" customWidth="1"/>
  </cols>
  <sheetData>
    <row r="1" spans="1:10" ht="18" x14ac:dyDescent="0.4">
      <c r="C1" s="2" t="s">
        <v>10</v>
      </c>
    </row>
    <row r="2" spans="1:10" ht="18" x14ac:dyDescent="0.4">
      <c r="C2" s="2" t="s">
        <v>11</v>
      </c>
    </row>
    <row r="3" spans="1:10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3" x14ac:dyDescent="0.3">
      <c r="A4" s="16" t="s">
        <v>12</v>
      </c>
      <c r="B4" s="16"/>
      <c r="C4" s="16"/>
      <c r="D4" s="16"/>
      <c r="E4" s="16"/>
      <c r="F4" s="16"/>
      <c r="G4" s="16"/>
      <c r="H4" s="16"/>
      <c r="I4" s="16"/>
      <c r="J4" s="16"/>
    </row>
    <row r="5" spans="1:10" ht="13" x14ac:dyDescent="0.3">
      <c r="A5" s="16" t="s">
        <v>13</v>
      </c>
      <c r="B5" s="16"/>
      <c r="C5" s="16"/>
      <c r="D5" s="16"/>
      <c r="E5" s="16"/>
      <c r="F5" s="16"/>
      <c r="G5" s="16"/>
      <c r="H5" s="16"/>
      <c r="I5" s="16"/>
      <c r="J5" s="16"/>
    </row>
    <row r="6" spans="1:10" ht="13" x14ac:dyDescent="0.3">
      <c r="A6" s="16" t="s">
        <v>14</v>
      </c>
      <c r="B6" s="16"/>
      <c r="C6" s="16"/>
      <c r="D6" s="16"/>
      <c r="E6" s="16"/>
      <c r="F6" s="16"/>
      <c r="G6" s="16"/>
      <c r="H6" s="16"/>
      <c r="I6" s="16"/>
      <c r="J6" s="16"/>
    </row>
    <row r="7" spans="1:10" ht="13" x14ac:dyDescent="0.3">
      <c r="A7" s="16" t="s">
        <v>15</v>
      </c>
      <c r="B7" s="16"/>
      <c r="C7" s="16"/>
      <c r="D7" s="16"/>
      <c r="E7" s="16"/>
      <c r="F7" s="16"/>
      <c r="G7" s="16"/>
      <c r="H7" s="16"/>
      <c r="I7" s="16"/>
      <c r="J7" s="16"/>
    </row>
    <row r="8" spans="1:10" ht="13" x14ac:dyDescent="0.3">
      <c r="A8" s="16"/>
      <c r="B8" s="16"/>
      <c r="C8" s="16"/>
      <c r="D8" s="16"/>
      <c r="E8" s="16"/>
      <c r="F8" s="16"/>
      <c r="G8" s="16"/>
      <c r="H8" s="16"/>
      <c r="I8" s="16"/>
      <c r="J8" s="16"/>
    </row>
    <row r="9" spans="1:10" ht="15.5" x14ac:dyDescent="0.35">
      <c r="E9" s="4" t="s">
        <v>16</v>
      </c>
    </row>
    <row r="10" spans="1:10" ht="15.5" x14ac:dyDescent="0.35">
      <c r="D10" s="4"/>
    </row>
    <row r="11" spans="1:10" ht="13" x14ac:dyDescent="0.3">
      <c r="G11" s="7" t="s">
        <v>17</v>
      </c>
      <c r="H11" s="7"/>
      <c r="I11" s="7" t="s">
        <v>17</v>
      </c>
    </row>
    <row r="12" spans="1:10" ht="13" x14ac:dyDescent="0.3">
      <c r="G12" s="5">
        <v>38717</v>
      </c>
      <c r="H12" s="6"/>
      <c r="I12" s="5">
        <v>39082</v>
      </c>
    </row>
    <row r="13" spans="1:10" ht="15.5" x14ac:dyDescent="0.35">
      <c r="A13" s="8" t="s">
        <v>18</v>
      </c>
      <c r="B13" s="9"/>
      <c r="C13" s="9"/>
      <c r="D13" s="9"/>
      <c r="E13" s="9"/>
      <c r="F13" s="9"/>
      <c r="G13" s="9" t="s">
        <v>19</v>
      </c>
      <c r="H13" s="9"/>
      <c r="I13" s="9"/>
    </row>
    <row r="14" spans="1:10" x14ac:dyDescent="0.25">
      <c r="B14" t="s">
        <v>20</v>
      </c>
    </row>
    <row r="15" spans="1:10" x14ac:dyDescent="0.25">
      <c r="C15" t="s">
        <v>21</v>
      </c>
      <c r="G15" s="13">
        <v>2081</v>
      </c>
      <c r="I15" s="13">
        <v>2540</v>
      </c>
    </row>
    <row r="16" spans="1:10" x14ac:dyDescent="0.25">
      <c r="C16" t="s">
        <v>22</v>
      </c>
      <c r="G16" s="10">
        <v>1625</v>
      </c>
      <c r="I16" s="10">
        <v>1800</v>
      </c>
    </row>
    <row r="17" spans="1:10" x14ac:dyDescent="0.25">
      <c r="C17" t="s">
        <v>23</v>
      </c>
      <c r="G17" s="10">
        <v>16850</v>
      </c>
      <c r="I17" s="10">
        <v>18320</v>
      </c>
    </row>
    <row r="18" spans="1:10" x14ac:dyDescent="0.25">
      <c r="C18" t="s">
        <v>24</v>
      </c>
      <c r="G18" s="11">
        <v>26470</v>
      </c>
      <c r="I18" s="11">
        <v>27530</v>
      </c>
    </row>
    <row r="19" spans="1:10" ht="13" x14ac:dyDescent="0.3">
      <c r="D19" s="1" t="s">
        <v>25</v>
      </c>
      <c r="E19" s="1"/>
      <c r="F19" s="1"/>
      <c r="G19" s="12">
        <f>SUM(G15:G18)</f>
        <v>47026</v>
      </c>
      <c r="H19" s="1"/>
      <c r="I19" s="12">
        <f>SUM(I15:I18)</f>
        <v>50190</v>
      </c>
    </row>
    <row r="20" spans="1:10" x14ac:dyDescent="0.25">
      <c r="G20" s="10"/>
      <c r="I20" s="10"/>
    </row>
    <row r="21" spans="1:10" x14ac:dyDescent="0.25">
      <c r="B21" t="s">
        <v>26</v>
      </c>
      <c r="G21" s="10"/>
      <c r="I21" s="10"/>
    </row>
    <row r="22" spans="1:10" x14ac:dyDescent="0.25">
      <c r="C22" t="s">
        <v>27</v>
      </c>
      <c r="G22" s="10">
        <v>39500</v>
      </c>
      <c r="I22" s="10">
        <v>43100</v>
      </c>
    </row>
    <row r="23" spans="1:10" x14ac:dyDescent="0.25">
      <c r="C23" t="s">
        <v>28</v>
      </c>
      <c r="G23" s="10">
        <v>9500</v>
      </c>
      <c r="I23" s="10">
        <v>11400</v>
      </c>
    </row>
    <row r="24" spans="1:10" x14ac:dyDescent="0.25">
      <c r="C24" t="s">
        <v>29</v>
      </c>
      <c r="G24" s="11">
        <f>G22-G23</f>
        <v>30000</v>
      </c>
      <c r="I24" s="11">
        <f>I22-I23</f>
        <v>31700</v>
      </c>
    </row>
    <row r="25" spans="1:10" ht="13" x14ac:dyDescent="0.3">
      <c r="D25" s="1" t="s">
        <v>30</v>
      </c>
      <c r="E25" s="1"/>
      <c r="F25" s="1"/>
      <c r="G25" s="12">
        <f>G24</f>
        <v>30000</v>
      </c>
      <c r="H25" s="1"/>
      <c r="I25" s="12">
        <f>I24</f>
        <v>31700</v>
      </c>
    </row>
    <row r="26" spans="1:10" x14ac:dyDescent="0.25">
      <c r="G26" s="10"/>
      <c r="I26" s="10"/>
    </row>
    <row r="27" spans="1:10" ht="13.5" thickBot="1" x14ac:dyDescent="0.35">
      <c r="D27" s="1" t="s">
        <v>31</v>
      </c>
      <c r="E27" s="1"/>
      <c r="F27" s="1"/>
      <c r="G27" s="14">
        <f>G19+G25</f>
        <v>77026</v>
      </c>
      <c r="H27" s="1"/>
      <c r="I27" s="14">
        <f>I19+I25</f>
        <v>81890</v>
      </c>
      <c r="J27" s="13">
        <f>47523+34367</f>
        <v>81890</v>
      </c>
    </row>
    <row r="28" spans="1:10" ht="13" thickTop="1" x14ac:dyDescent="0.25"/>
    <row r="29" spans="1:10" ht="15.5" x14ac:dyDescent="0.35">
      <c r="A29" s="8" t="s">
        <v>32</v>
      </c>
      <c r="B29" s="9"/>
      <c r="C29" s="9"/>
      <c r="D29" s="9"/>
      <c r="E29" s="9"/>
      <c r="F29" s="9"/>
      <c r="G29" s="9"/>
      <c r="H29" s="9"/>
      <c r="I29" s="9"/>
    </row>
    <row r="30" spans="1:10" x14ac:dyDescent="0.25">
      <c r="B30" t="s">
        <v>33</v>
      </c>
    </row>
    <row r="31" spans="1:10" x14ac:dyDescent="0.25">
      <c r="C31" t="s">
        <v>34</v>
      </c>
      <c r="G31" s="13">
        <v>8340</v>
      </c>
      <c r="H31" s="10"/>
      <c r="I31" s="13">
        <v>9721</v>
      </c>
    </row>
    <row r="32" spans="1:10" x14ac:dyDescent="0.25">
      <c r="C32" t="s">
        <v>35</v>
      </c>
      <c r="G32" s="10">
        <v>5635</v>
      </c>
      <c r="H32" s="10"/>
      <c r="I32" s="10">
        <v>8500</v>
      </c>
    </row>
    <row r="33" spans="1:9" x14ac:dyDescent="0.25">
      <c r="C33" t="s">
        <v>36</v>
      </c>
      <c r="G33" s="10">
        <v>3150</v>
      </c>
      <c r="H33" s="10"/>
      <c r="I33" s="10">
        <v>3200</v>
      </c>
    </row>
    <row r="34" spans="1:9" x14ac:dyDescent="0.25">
      <c r="C34" t="s">
        <v>37</v>
      </c>
      <c r="G34" s="10">
        <v>1750</v>
      </c>
      <c r="H34" s="10"/>
      <c r="I34" s="10">
        <v>2102</v>
      </c>
    </row>
    <row r="35" spans="1:9" x14ac:dyDescent="0.25">
      <c r="C35" s="48" t="s">
        <v>38</v>
      </c>
      <c r="D35" s="48"/>
      <c r="E35" s="48"/>
      <c r="F35" s="48"/>
      <c r="G35" s="11">
        <v>2000</v>
      </c>
      <c r="H35" s="10"/>
      <c r="I35" s="11">
        <v>2000</v>
      </c>
    </row>
    <row r="36" spans="1:9" ht="13" x14ac:dyDescent="0.3">
      <c r="D36" s="1" t="s">
        <v>39</v>
      </c>
      <c r="G36" s="12">
        <f>SUM(G31:G35)</f>
        <v>20875</v>
      </c>
      <c r="H36" s="12"/>
      <c r="I36" s="12">
        <f>SUM(I31:I35)</f>
        <v>25523</v>
      </c>
    </row>
    <row r="37" spans="1:9" x14ac:dyDescent="0.25">
      <c r="G37" s="10"/>
      <c r="H37" s="10"/>
      <c r="I37" s="10"/>
    </row>
    <row r="38" spans="1:9" x14ac:dyDescent="0.25">
      <c r="B38" t="s">
        <v>40</v>
      </c>
      <c r="G38" s="10"/>
      <c r="H38" s="10"/>
      <c r="I38" s="10"/>
    </row>
    <row r="39" spans="1:9" x14ac:dyDescent="0.25">
      <c r="C39" t="s">
        <v>41</v>
      </c>
      <c r="G39" s="10">
        <v>24000</v>
      </c>
      <c r="H39" s="10"/>
      <c r="I39" s="10">
        <v>22000</v>
      </c>
    </row>
    <row r="40" spans="1:9" ht="13" x14ac:dyDescent="0.3">
      <c r="D40" s="1" t="s">
        <v>42</v>
      </c>
      <c r="G40" s="15">
        <f>G39</f>
        <v>24000</v>
      </c>
      <c r="H40" s="12"/>
      <c r="I40" s="15">
        <f>I39</f>
        <v>22000</v>
      </c>
    </row>
    <row r="41" spans="1:9" x14ac:dyDescent="0.25">
      <c r="G41" s="10"/>
      <c r="H41" s="10"/>
      <c r="I41" s="10"/>
    </row>
    <row r="42" spans="1:9" ht="13.5" thickBot="1" x14ac:dyDescent="0.35">
      <c r="D42" s="1" t="s">
        <v>43</v>
      </c>
      <c r="E42" s="1"/>
      <c r="F42" s="1"/>
      <c r="G42" s="14">
        <f>G36+G40</f>
        <v>44875</v>
      </c>
      <c r="H42" s="12"/>
      <c r="I42" s="14">
        <f>I36+I40</f>
        <v>47523</v>
      </c>
    </row>
    <row r="43" spans="1:9" ht="13" thickTop="1" x14ac:dyDescent="0.25">
      <c r="G43" s="10"/>
      <c r="H43" s="10"/>
      <c r="I43" s="10"/>
    </row>
    <row r="44" spans="1:9" ht="15.5" x14ac:dyDescent="0.35">
      <c r="A44" s="8" t="s">
        <v>44</v>
      </c>
      <c r="B44" s="9"/>
      <c r="C44" s="9"/>
      <c r="D44" s="9"/>
      <c r="E44" s="9"/>
      <c r="F44" s="9"/>
      <c r="G44" s="11"/>
      <c r="H44" s="11"/>
      <c r="I44" s="11"/>
    </row>
    <row r="45" spans="1:9" x14ac:dyDescent="0.25">
      <c r="G45" s="10"/>
      <c r="H45" s="10"/>
      <c r="I45" s="10"/>
    </row>
    <row r="46" spans="1:9" x14ac:dyDescent="0.25">
      <c r="B46" t="s">
        <v>45</v>
      </c>
      <c r="G46" s="13">
        <v>13000</v>
      </c>
      <c r="H46" s="10"/>
      <c r="I46" s="13">
        <v>13000</v>
      </c>
    </row>
    <row r="47" spans="1:9" x14ac:dyDescent="0.25">
      <c r="B47" t="s">
        <v>46</v>
      </c>
      <c r="G47" s="10">
        <v>10000</v>
      </c>
      <c r="H47" s="10"/>
      <c r="I47" s="10">
        <v>10000</v>
      </c>
    </row>
    <row r="48" spans="1:9" x14ac:dyDescent="0.25">
      <c r="B48" t="s">
        <v>47</v>
      </c>
      <c r="G48" s="11">
        <v>9151</v>
      </c>
      <c r="H48" s="10"/>
      <c r="I48" s="11">
        <v>11367</v>
      </c>
    </row>
    <row r="49" spans="1:10" x14ac:dyDescent="0.25">
      <c r="G49" s="10"/>
      <c r="H49" s="10"/>
      <c r="I49" s="10"/>
    </row>
    <row r="50" spans="1:10" ht="13.5" thickBot="1" x14ac:dyDescent="0.35">
      <c r="D50" s="1" t="s">
        <v>48</v>
      </c>
      <c r="E50" s="1"/>
      <c r="F50" s="1"/>
      <c r="G50" s="14">
        <f>SUM(G46:G48)</f>
        <v>32151</v>
      </c>
      <c r="H50" s="12"/>
      <c r="I50" s="14">
        <f>SUM(I46:I48)</f>
        <v>34367</v>
      </c>
    </row>
    <row r="51" spans="1:10" ht="13" thickTop="1" x14ac:dyDescent="0.25"/>
    <row r="54" spans="1:10" ht="15.5" x14ac:dyDescent="0.35">
      <c r="E54" s="4" t="s">
        <v>49</v>
      </c>
    </row>
    <row r="55" spans="1:10" ht="13" x14ac:dyDescent="0.3">
      <c r="I55" s="7" t="s">
        <v>17</v>
      </c>
    </row>
    <row r="56" spans="1:10" ht="13" x14ac:dyDescent="0.3">
      <c r="I56" s="5">
        <v>39082</v>
      </c>
    </row>
    <row r="57" spans="1:10" ht="15.5" x14ac:dyDescent="0.35">
      <c r="A57" s="8" t="s">
        <v>50</v>
      </c>
      <c r="B57" s="9"/>
      <c r="C57" s="9"/>
      <c r="D57" s="9"/>
      <c r="E57" s="9"/>
      <c r="F57" s="9"/>
      <c r="G57" s="9" t="s">
        <v>51</v>
      </c>
      <c r="H57" s="9" t="s">
        <v>52</v>
      </c>
      <c r="I57" s="9"/>
      <c r="J57" s="9"/>
    </row>
    <row r="58" spans="1:10" x14ac:dyDescent="0.25">
      <c r="I58" s="10"/>
    </row>
    <row r="59" spans="1:10" x14ac:dyDescent="0.25">
      <c r="B59" t="s">
        <v>53</v>
      </c>
      <c r="I59" s="13">
        <v>116900</v>
      </c>
    </row>
    <row r="60" spans="1:10" x14ac:dyDescent="0.25">
      <c r="B60" t="s">
        <v>54</v>
      </c>
      <c r="I60" s="18">
        <v>4140</v>
      </c>
    </row>
    <row r="61" spans="1:10" x14ac:dyDescent="0.25">
      <c r="B61" t="s">
        <v>55</v>
      </c>
      <c r="G61" t="s">
        <v>51</v>
      </c>
      <c r="I61" s="10">
        <f>I59-I60</f>
        <v>112760</v>
      </c>
    </row>
    <row r="62" spans="1:10" x14ac:dyDescent="0.25">
      <c r="I62" s="10"/>
    </row>
    <row r="63" spans="1:10" ht="13" x14ac:dyDescent="0.3">
      <c r="D63" s="1" t="s">
        <v>56</v>
      </c>
      <c r="E63" s="1"/>
      <c r="F63" s="1"/>
      <c r="G63" s="1"/>
      <c r="H63" s="1"/>
      <c r="I63" s="12">
        <f>I61</f>
        <v>112760</v>
      </c>
    </row>
    <row r="64" spans="1:10" ht="13" x14ac:dyDescent="0.3">
      <c r="D64" s="1"/>
      <c r="E64" s="1"/>
      <c r="F64" s="1"/>
      <c r="G64" s="1"/>
      <c r="H64" s="1"/>
      <c r="I64" s="12"/>
    </row>
    <row r="65" spans="1:9" ht="15.5" x14ac:dyDescent="0.35">
      <c r="A65" s="45" t="s">
        <v>57</v>
      </c>
      <c r="I65" s="10"/>
    </row>
    <row r="66" spans="1:9" x14ac:dyDescent="0.25">
      <c r="B66" t="s">
        <v>58</v>
      </c>
      <c r="I66" s="10">
        <v>85300</v>
      </c>
    </row>
    <row r="67" spans="1:9" x14ac:dyDescent="0.25">
      <c r="I67" s="10"/>
    </row>
    <row r="68" spans="1:9" ht="13" x14ac:dyDescent="0.3">
      <c r="D68" s="1" t="s">
        <v>59</v>
      </c>
      <c r="E68" s="1"/>
      <c r="F68" s="1"/>
      <c r="G68" s="1"/>
      <c r="H68" s="1"/>
      <c r="I68" s="12">
        <f>I63-I66</f>
        <v>27460</v>
      </c>
    </row>
    <row r="69" spans="1:9" x14ac:dyDescent="0.25">
      <c r="I69" s="10"/>
    </row>
    <row r="70" spans="1:9" x14ac:dyDescent="0.25">
      <c r="B70" t="s">
        <v>60</v>
      </c>
      <c r="I70" s="10"/>
    </row>
    <row r="71" spans="1:9" x14ac:dyDescent="0.25">
      <c r="C71" t="s">
        <v>61</v>
      </c>
      <c r="I71" s="10">
        <v>6540</v>
      </c>
    </row>
    <row r="72" spans="1:9" x14ac:dyDescent="0.25">
      <c r="C72" t="s">
        <v>62</v>
      </c>
      <c r="I72" s="10">
        <v>9400</v>
      </c>
    </row>
    <row r="73" spans="1:9" x14ac:dyDescent="0.25">
      <c r="D73" t="s">
        <v>63</v>
      </c>
      <c r="I73" s="10">
        <f>SUM(I71:I72)</f>
        <v>15940</v>
      </c>
    </row>
    <row r="74" spans="1:9" x14ac:dyDescent="0.25">
      <c r="I74" s="10"/>
    </row>
    <row r="75" spans="1:9" ht="13" x14ac:dyDescent="0.3">
      <c r="D75" s="1" t="s">
        <v>64</v>
      </c>
      <c r="E75" s="1"/>
      <c r="F75" s="1"/>
      <c r="G75" s="1"/>
      <c r="H75" s="1"/>
      <c r="I75" s="12">
        <f>I68-I73</f>
        <v>11520</v>
      </c>
    </row>
    <row r="76" spans="1:9" x14ac:dyDescent="0.25">
      <c r="I76" s="10"/>
    </row>
    <row r="77" spans="1:9" x14ac:dyDescent="0.25">
      <c r="B77" t="s">
        <v>65</v>
      </c>
      <c r="I77" s="10"/>
    </row>
    <row r="78" spans="1:9" x14ac:dyDescent="0.25">
      <c r="C78" t="s">
        <v>66</v>
      </c>
      <c r="I78" s="10">
        <v>850</v>
      </c>
    </row>
    <row r="79" spans="1:9" x14ac:dyDescent="0.25">
      <c r="C79" t="s">
        <v>67</v>
      </c>
      <c r="I79" s="10">
        <v>2310</v>
      </c>
    </row>
    <row r="80" spans="1:9" x14ac:dyDescent="0.25">
      <c r="D80" t="s">
        <v>68</v>
      </c>
      <c r="I80" s="10">
        <f>SUM(I78:I79)</f>
        <v>3160</v>
      </c>
    </row>
    <row r="81" spans="2:11" x14ac:dyDescent="0.25">
      <c r="I81" s="10"/>
    </row>
    <row r="82" spans="2:11" x14ac:dyDescent="0.25">
      <c r="D82" t="s">
        <v>69</v>
      </c>
      <c r="I82" s="10">
        <f>I75-I80</f>
        <v>8360</v>
      </c>
      <c r="K82" s="10"/>
    </row>
    <row r="83" spans="2:11" x14ac:dyDescent="0.25">
      <c r="I83" s="10"/>
      <c r="K83" s="10"/>
    </row>
    <row r="84" spans="2:11" x14ac:dyDescent="0.25">
      <c r="B84" t="s">
        <v>70</v>
      </c>
      <c r="I84" s="10">
        <v>3344</v>
      </c>
      <c r="K84" s="10"/>
    </row>
    <row r="86" spans="2:11" ht="13.5" thickBot="1" x14ac:dyDescent="0.35">
      <c r="D86" s="1" t="s">
        <v>71</v>
      </c>
      <c r="E86" s="1"/>
      <c r="F86" s="1"/>
      <c r="G86" s="1"/>
      <c r="H86" s="1"/>
      <c r="I86" s="19">
        <f>I82-I84</f>
        <v>5016</v>
      </c>
      <c r="K86" s="10"/>
    </row>
    <row r="87" spans="2:11" ht="13" thickTop="1" x14ac:dyDescent="0.25">
      <c r="K87" s="10"/>
    </row>
  </sheetData>
  <phoneticPr fontId="3" type="noConversion"/>
  <pageMargins left="0.78740157499999996" right="0.78740157499999996" top="0.984251969" bottom="0.984251969" header="0.5" footer="0.5"/>
  <pageSetup orientation="portrait" r:id="rId1"/>
  <headerFooter alignWithMargins="0"/>
  <rowBreaks count="1" manualBreakCount="1">
    <brk id="5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7"/>
  <sheetViews>
    <sheetView topLeftCell="A56" zoomScale="130" zoomScaleNormal="130" workbookViewId="0">
      <selection activeCell="I74" sqref="I74"/>
    </sheetView>
  </sheetViews>
  <sheetFormatPr baseColWidth="10" defaultColWidth="9.1796875" defaultRowHeight="12.5" x14ac:dyDescent="0.25"/>
  <cols>
    <col min="7" max="7" width="12.81640625" customWidth="1"/>
    <col min="9" max="9" width="13.26953125" customWidth="1"/>
  </cols>
  <sheetData>
    <row r="1" spans="1:10" ht="18" x14ac:dyDescent="0.4">
      <c r="C1" s="2" t="s">
        <v>10</v>
      </c>
    </row>
    <row r="2" spans="1:10" ht="18" x14ac:dyDescent="0.4">
      <c r="C2" s="2" t="s">
        <v>72</v>
      </c>
    </row>
    <row r="3" spans="1:10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3" x14ac:dyDescent="0.3">
      <c r="A4" s="16" t="s">
        <v>73</v>
      </c>
      <c r="B4" s="16"/>
      <c r="C4" s="16"/>
      <c r="D4" s="16"/>
      <c r="E4" s="16"/>
      <c r="F4" s="16"/>
      <c r="G4" s="16"/>
      <c r="H4" s="16"/>
      <c r="I4" s="16"/>
      <c r="J4" s="16"/>
    </row>
    <row r="5" spans="1:10" ht="12.75" customHeight="1" x14ac:dyDescent="0.35">
      <c r="A5" s="16" t="s">
        <v>74</v>
      </c>
      <c r="B5" s="16"/>
      <c r="C5" s="16"/>
      <c r="D5" s="16"/>
      <c r="E5" s="17"/>
      <c r="F5" s="16"/>
      <c r="G5" s="16"/>
      <c r="H5" s="16"/>
      <c r="I5" s="16"/>
      <c r="J5" s="16"/>
    </row>
    <row r="6" spans="1:10" ht="13" x14ac:dyDescent="0.3">
      <c r="A6" s="16" t="s">
        <v>75</v>
      </c>
      <c r="B6" s="16"/>
      <c r="C6" s="16"/>
      <c r="D6" s="16"/>
      <c r="E6" s="16"/>
      <c r="F6" s="16"/>
      <c r="G6" s="16"/>
      <c r="H6" s="16"/>
      <c r="I6" s="16"/>
      <c r="J6" s="16"/>
    </row>
    <row r="8" spans="1:10" ht="15.5" x14ac:dyDescent="0.35">
      <c r="E8" s="4" t="s">
        <v>16</v>
      </c>
    </row>
    <row r="9" spans="1:10" ht="15.5" x14ac:dyDescent="0.35">
      <c r="D9" s="4"/>
    </row>
    <row r="10" spans="1:10" ht="13" x14ac:dyDescent="0.3">
      <c r="G10" s="7" t="s">
        <v>17</v>
      </c>
      <c r="H10" s="7"/>
      <c r="I10" s="7" t="s">
        <v>17</v>
      </c>
    </row>
    <row r="11" spans="1:10" ht="13" x14ac:dyDescent="0.3">
      <c r="G11" s="5">
        <v>38717</v>
      </c>
      <c r="H11" s="6"/>
      <c r="I11" s="5">
        <v>39082</v>
      </c>
    </row>
    <row r="12" spans="1:10" ht="15.5" x14ac:dyDescent="0.35">
      <c r="A12" s="8" t="s">
        <v>18</v>
      </c>
      <c r="B12" s="9"/>
      <c r="C12" s="9"/>
      <c r="D12" s="9"/>
      <c r="E12" s="9"/>
      <c r="F12" s="9"/>
      <c r="G12" s="9" t="s">
        <v>76</v>
      </c>
      <c r="H12" s="9"/>
      <c r="I12" s="9"/>
    </row>
    <row r="14" spans="1:10" x14ac:dyDescent="0.25">
      <c r="B14" t="s">
        <v>77</v>
      </c>
      <c r="G14" s="20">
        <f>'1 - Financial Statements'!G15/'1 - Financial Statements'!G27</f>
        <v>2.7016851452756212E-2</v>
      </c>
      <c r="H14" s="20"/>
      <c r="I14" s="20">
        <f>'1 - Financial Statements'!I15/'1 - Financial Statements'!I27</f>
        <v>3.1017218219562829E-2</v>
      </c>
    </row>
    <row r="15" spans="1:10" x14ac:dyDescent="0.25">
      <c r="B15" t="s">
        <v>22</v>
      </c>
      <c r="G15" s="20">
        <f>'1 - Financial Statements'!G16/'1 - Financial Statements'!G27</f>
        <v>2.1096772518370419E-2</v>
      </c>
      <c r="H15" s="20"/>
      <c r="I15" s="20">
        <f>'1 - Financial Statements'!I16/'1 - Financial Statements'!I27</f>
        <v>2.1980705824887044E-2</v>
      </c>
    </row>
    <row r="16" spans="1:10" x14ac:dyDescent="0.25">
      <c r="B16" t="s">
        <v>23</v>
      </c>
      <c r="G16" s="20">
        <f>'1 - Financial Statements'!G17/'1 - Financial Statements'!G27</f>
        <v>0.21875730272894867</v>
      </c>
      <c r="H16" s="20"/>
      <c r="I16" s="20">
        <f>'1 - Financial Statements'!I17/'1 - Financial Statements'!I27</f>
        <v>0.22371473928440591</v>
      </c>
    </row>
    <row r="17" spans="1:9" x14ac:dyDescent="0.25">
      <c r="B17" t="s">
        <v>24</v>
      </c>
      <c r="G17" s="20">
        <f>'1 - Financial Statements'!G18/'1 - Financial Statements'!G27</f>
        <v>0.34365019603770158</v>
      </c>
      <c r="H17" s="20"/>
      <c r="I17" s="20">
        <f>'1 - Financial Statements'!I18/'1 - Financial Statements'!I27</f>
        <v>0.33618268408841129</v>
      </c>
    </row>
    <row r="18" spans="1:9" ht="13" x14ac:dyDescent="0.3">
      <c r="C18" s="1" t="s">
        <v>25</v>
      </c>
      <c r="D18" s="1"/>
      <c r="E18" s="1"/>
      <c r="F18" s="1"/>
      <c r="G18" s="21">
        <f>SUM(G14:G17)</f>
        <v>0.61052112273777692</v>
      </c>
      <c r="H18" s="21"/>
      <c r="I18" s="21">
        <f>SUM(I14:I17)</f>
        <v>0.61289534741726714</v>
      </c>
    </row>
    <row r="19" spans="1:9" x14ac:dyDescent="0.25">
      <c r="G19" s="20"/>
      <c r="H19" s="20"/>
      <c r="I19" s="20"/>
    </row>
    <row r="20" spans="1:9" x14ac:dyDescent="0.25">
      <c r="B20" t="s">
        <v>29</v>
      </c>
      <c r="G20" s="20">
        <f>'1 - Financial Statements'!G24/'1 - Financial Statements'!G27</f>
        <v>0.38947887726222313</v>
      </c>
      <c r="H20" s="20"/>
      <c r="I20" s="20">
        <f>'1 - Financial Statements'!I24/'1 - Financial Statements'!I27</f>
        <v>0.38710465258273291</v>
      </c>
    </row>
    <row r="21" spans="1:9" x14ac:dyDescent="0.25">
      <c r="G21" s="20"/>
      <c r="H21" s="20"/>
      <c r="I21" s="20"/>
    </row>
    <row r="22" spans="1:9" ht="13.5" thickBot="1" x14ac:dyDescent="0.35">
      <c r="C22" s="1" t="s">
        <v>31</v>
      </c>
      <c r="D22" s="1"/>
      <c r="E22" s="1"/>
      <c r="F22" s="1"/>
      <c r="G22" s="22">
        <f>G18+G20</f>
        <v>1</v>
      </c>
      <c r="H22" s="21"/>
      <c r="I22" s="22">
        <f>I18+I20</f>
        <v>1</v>
      </c>
    </row>
    <row r="23" spans="1:9" ht="13" thickTop="1" x14ac:dyDescent="0.25">
      <c r="G23" s="20"/>
      <c r="H23" s="20"/>
      <c r="I23" s="20"/>
    </row>
    <row r="24" spans="1:9" ht="15.5" x14ac:dyDescent="0.35">
      <c r="A24" s="8" t="s">
        <v>32</v>
      </c>
      <c r="B24" s="8"/>
      <c r="C24" s="8"/>
      <c r="D24" s="8"/>
      <c r="E24" s="8"/>
      <c r="F24" s="8"/>
      <c r="G24" s="8"/>
      <c r="H24" s="8"/>
      <c r="I24" s="8"/>
    </row>
    <row r="25" spans="1:9" x14ac:dyDescent="0.25">
      <c r="G25" s="20"/>
      <c r="H25" s="20"/>
      <c r="I25" s="20"/>
    </row>
    <row r="26" spans="1:9" x14ac:dyDescent="0.25">
      <c r="B26" t="s">
        <v>33</v>
      </c>
      <c r="G26" s="20">
        <f>'1 - Financial Statements'!G36/'1 - Financial Statements'!G27</f>
        <v>0.27101238542829692</v>
      </c>
      <c r="H26" s="20"/>
      <c r="I26" s="20">
        <f>'1 - Financial Statements'!I36/'1 - Financial Statements'!I27</f>
        <v>0.31167419709366223</v>
      </c>
    </row>
    <row r="27" spans="1:9" x14ac:dyDescent="0.25">
      <c r="G27" s="20"/>
      <c r="H27" s="20"/>
      <c r="I27" s="20"/>
    </row>
    <row r="28" spans="1:9" x14ac:dyDescent="0.25">
      <c r="B28" t="s">
        <v>40</v>
      </c>
      <c r="G28" s="20">
        <f>'1 - Financial Statements'!G40/'1 - Financial Statements'!G27</f>
        <v>0.3115831018097785</v>
      </c>
      <c r="H28" s="20"/>
      <c r="I28" s="20">
        <f>'1 - Financial Statements'!I40/'1 - Financial Statements'!I27</f>
        <v>0.26865307119306386</v>
      </c>
    </row>
    <row r="29" spans="1:9" x14ac:dyDescent="0.25">
      <c r="G29" s="20"/>
      <c r="H29" s="20"/>
      <c r="I29" s="20"/>
    </row>
    <row r="30" spans="1:9" ht="13.5" thickBot="1" x14ac:dyDescent="0.35">
      <c r="C30" s="1" t="s">
        <v>43</v>
      </c>
      <c r="D30" s="1"/>
      <c r="E30" s="1"/>
      <c r="F30" s="1"/>
      <c r="G30" s="22">
        <f>SUM(G26:G28)</f>
        <v>0.58259548723807542</v>
      </c>
      <c r="H30" s="21"/>
      <c r="I30" s="22">
        <f>SUM(I26:I28)</f>
        <v>0.58032726828672609</v>
      </c>
    </row>
    <row r="31" spans="1:9" ht="13" thickTop="1" x14ac:dyDescent="0.25">
      <c r="G31" s="20"/>
      <c r="H31" s="20"/>
      <c r="I31" s="20"/>
    </row>
    <row r="32" spans="1:9" ht="15.5" x14ac:dyDescent="0.35">
      <c r="A32" s="8" t="s">
        <v>44</v>
      </c>
      <c r="B32" s="8"/>
      <c r="C32" s="8"/>
      <c r="D32" s="8"/>
      <c r="E32" s="8"/>
      <c r="F32" s="8"/>
      <c r="G32" s="8"/>
      <c r="H32" s="8"/>
      <c r="I32" s="8"/>
    </row>
    <row r="33" spans="1:9" x14ac:dyDescent="0.25">
      <c r="G33" s="20"/>
      <c r="H33" s="20"/>
      <c r="I33" s="20"/>
    </row>
    <row r="34" spans="1:9" ht="13.5" thickBot="1" x14ac:dyDescent="0.35">
      <c r="B34" t="s">
        <v>51</v>
      </c>
      <c r="C34" s="1" t="s">
        <v>48</v>
      </c>
      <c r="D34" s="1"/>
      <c r="E34" s="1"/>
      <c r="F34" s="1"/>
      <c r="G34" s="22">
        <f>'1 - Financial Statements'!G50/'1 - Financial Statements'!G27</f>
        <v>0.41740451276192453</v>
      </c>
      <c r="H34" s="21"/>
      <c r="I34" s="22">
        <f>'1 - Financial Statements'!I50/'1 - Financial Statements'!I27</f>
        <v>0.41967273171327391</v>
      </c>
    </row>
    <row r="35" spans="1:9" ht="13" thickTop="1" x14ac:dyDescent="0.25">
      <c r="G35" s="20"/>
      <c r="H35" s="20"/>
      <c r="I35" s="20"/>
    </row>
    <row r="36" spans="1:9" ht="13.5" thickBot="1" x14ac:dyDescent="0.35">
      <c r="C36" s="1" t="s">
        <v>78</v>
      </c>
      <c r="D36" s="1"/>
      <c r="E36" s="1"/>
      <c r="F36" s="1"/>
      <c r="G36" s="22">
        <f>G30+G34</f>
        <v>1</v>
      </c>
      <c r="H36" s="21"/>
      <c r="I36" s="22">
        <f>I30+I34</f>
        <v>1</v>
      </c>
    </row>
    <row r="37" spans="1:9" ht="13" thickTop="1" x14ac:dyDescent="0.25">
      <c r="G37" s="20"/>
      <c r="H37" s="20"/>
      <c r="I37" s="20"/>
    </row>
    <row r="38" spans="1:9" x14ac:dyDescent="0.25">
      <c r="G38" s="20"/>
      <c r="H38" s="20"/>
      <c r="I38" s="20"/>
    </row>
    <row r="39" spans="1:9" x14ac:dyDescent="0.25">
      <c r="G39" s="20"/>
      <c r="H39" s="20"/>
      <c r="I39" s="20"/>
    </row>
    <row r="40" spans="1:9" x14ac:dyDescent="0.25">
      <c r="A40" s="23" t="s">
        <v>79</v>
      </c>
      <c r="G40" s="20"/>
      <c r="H40" s="20"/>
      <c r="I40" s="20"/>
    </row>
    <row r="41" spans="1:9" x14ac:dyDescent="0.25">
      <c r="G41" s="20"/>
      <c r="H41" s="20"/>
      <c r="I41" s="20"/>
    </row>
    <row r="42" spans="1:9" x14ac:dyDescent="0.25">
      <c r="A42">
        <v>1</v>
      </c>
      <c r="B42" t="s">
        <v>80</v>
      </c>
      <c r="G42" s="20"/>
      <c r="H42" s="20"/>
      <c r="I42" s="20"/>
    </row>
    <row r="43" spans="1:9" x14ac:dyDescent="0.25">
      <c r="A43">
        <v>2</v>
      </c>
      <c r="B43" t="s">
        <v>81</v>
      </c>
      <c r="G43" s="20"/>
      <c r="H43" s="20"/>
      <c r="I43" s="20"/>
    </row>
    <row r="44" spans="1:9" x14ac:dyDescent="0.25">
      <c r="B44" t="s">
        <v>82</v>
      </c>
      <c r="G44" s="20"/>
      <c r="H44" s="20"/>
      <c r="I44" s="20"/>
    </row>
    <row r="45" spans="1:9" x14ac:dyDescent="0.25">
      <c r="A45">
        <v>3</v>
      </c>
      <c r="B45" t="s">
        <v>83</v>
      </c>
      <c r="G45" s="20"/>
      <c r="H45" s="20"/>
      <c r="I45" s="20"/>
    </row>
    <row r="46" spans="1:9" x14ac:dyDescent="0.25">
      <c r="G46" s="20"/>
      <c r="H46" s="20"/>
      <c r="I46" s="20"/>
    </row>
    <row r="47" spans="1:9" x14ac:dyDescent="0.25">
      <c r="G47" s="20"/>
      <c r="H47" s="20"/>
      <c r="I47" s="20"/>
    </row>
    <row r="48" spans="1:9" ht="15.5" x14ac:dyDescent="0.35">
      <c r="E48" s="4" t="s">
        <v>49</v>
      </c>
      <c r="H48" s="20"/>
      <c r="I48" s="20"/>
    </row>
    <row r="49" spans="1:9" ht="15.5" x14ac:dyDescent="0.35">
      <c r="D49" s="4"/>
      <c r="H49" s="20"/>
      <c r="I49" s="20"/>
    </row>
    <row r="50" spans="1:9" ht="13" x14ac:dyDescent="0.3">
      <c r="G50" s="7" t="s">
        <v>17</v>
      </c>
      <c r="H50" s="20"/>
      <c r="I50" s="20"/>
    </row>
    <row r="51" spans="1:9" ht="13" x14ac:dyDescent="0.3">
      <c r="G51" s="5">
        <v>39082</v>
      </c>
      <c r="H51" s="20"/>
      <c r="I51" s="20"/>
    </row>
    <row r="52" spans="1:9" ht="15.5" x14ac:dyDescent="0.35">
      <c r="A52" s="8" t="s">
        <v>51</v>
      </c>
      <c r="B52" s="9"/>
      <c r="C52" s="9"/>
      <c r="D52" s="9"/>
      <c r="E52" s="9"/>
      <c r="F52" s="9"/>
      <c r="G52" s="9" t="s">
        <v>84</v>
      </c>
      <c r="H52" s="20"/>
      <c r="I52" s="20"/>
    </row>
    <row r="53" spans="1:9" x14ac:dyDescent="0.25">
      <c r="H53" s="20"/>
      <c r="I53" s="20"/>
    </row>
    <row r="54" spans="1:9" ht="13" x14ac:dyDescent="0.3">
      <c r="B54" s="1" t="s">
        <v>85</v>
      </c>
      <c r="C54" s="1"/>
      <c r="D54" s="1"/>
      <c r="E54" s="1"/>
      <c r="F54" s="1"/>
      <c r="G54" s="21">
        <f>'1 - Financial Statements'!I63/'1 - Financial Statements'!I63</f>
        <v>1</v>
      </c>
      <c r="H54" s="20"/>
      <c r="I54" s="20"/>
    </row>
    <row r="55" spans="1:9" x14ac:dyDescent="0.25">
      <c r="B55" t="s">
        <v>51</v>
      </c>
      <c r="G55" s="20" t="s">
        <v>51</v>
      </c>
      <c r="H55" s="20"/>
      <c r="I55" s="20"/>
    </row>
    <row r="56" spans="1:9" x14ac:dyDescent="0.25">
      <c r="B56" t="s">
        <v>58</v>
      </c>
      <c r="G56" s="20">
        <f>'1 - Financial Statements'!I66/'1 - Financial Statements'!I63</f>
        <v>0.75647392692444126</v>
      </c>
      <c r="H56" s="20"/>
      <c r="I56" s="20"/>
    </row>
    <row r="57" spans="1:9" x14ac:dyDescent="0.25">
      <c r="G57" s="20"/>
      <c r="H57" s="20"/>
      <c r="I57" s="20"/>
    </row>
    <row r="58" spans="1:9" ht="13" x14ac:dyDescent="0.3">
      <c r="B58" t="s">
        <v>51</v>
      </c>
      <c r="D58" s="1" t="s">
        <v>86</v>
      </c>
      <c r="E58" s="1"/>
      <c r="F58" s="1"/>
      <c r="G58" s="21">
        <f>G54-G56</f>
        <v>0.24352607307555874</v>
      </c>
      <c r="H58" s="20"/>
      <c r="I58" s="20"/>
    </row>
    <row r="59" spans="1:9" x14ac:dyDescent="0.25">
      <c r="G59" s="20"/>
      <c r="H59" s="20"/>
      <c r="I59" s="20"/>
    </row>
    <row r="60" spans="1:9" x14ac:dyDescent="0.25">
      <c r="B60" t="s">
        <v>87</v>
      </c>
      <c r="G60" s="20">
        <f>'1 - Financial Statements'!I73/'1 - Financial Statements'!I63</f>
        <v>0.14136218517204682</v>
      </c>
      <c r="H60" s="20"/>
      <c r="I60" s="20"/>
    </row>
    <row r="61" spans="1:9" x14ac:dyDescent="0.25">
      <c r="G61" s="20"/>
      <c r="H61" s="20"/>
      <c r="I61" s="20"/>
    </row>
    <row r="62" spans="1:9" ht="13" x14ac:dyDescent="0.3">
      <c r="D62" s="1" t="s">
        <v>88</v>
      </c>
      <c r="E62" s="1"/>
      <c r="F62" s="1"/>
      <c r="G62" s="21">
        <f>'1 - Financial Statements'!I75/'1 - Financial Statements'!I63</f>
        <v>0.10216388790351189</v>
      </c>
    </row>
    <row r="63" spans="1:9" x14ac:dyDescent="0.25">
      <c r="G63" s="20"/>
    </row>
    <row r="64" spans="1:9" x14ac:dyDescent="0.25">
      <c r="B64" t="s">
        <v>89</v>
      </c>
      <c r="G64" s="20">
        <f>'1 - Financial Statements'!I80/'1 - Financial Statements'!I63</f>
        <v>2.8024122029088328E-2</v>
      </c>
    </row>
    <row r="65" spans="1:7" x14ac:dyDescent="0.25">
      <c r="G65" s="20"/>
    </row>
    <row r="66" spans="1:7" ht="13" x14ac:dyDescent="0.3">
      <c r="D66" s="1" t="s">
        <v>69</v>
      </c>
      <c r="G66" s="20">
        <f>'1 - Financial Statements'!I82/'1 - Financial Statements'!I63</f>
        <v>7.4139765874423558E-2</v>
      </c>
    </row>
    <row r="67" spans="1:7" x14ac:dyDescent="0.25">
      <c r="G67" s="20"/>
    </row>
    <row r="68" spans="1:7" x14ac:dyDescent="0.25">
      <c r="B68" t="s">
        <v>90</v>
      </c>
      <c r="G68" s="20">
        <f>'1 - Financial Statements'!I84/'1 - Financial Statements'!I63</f>
        <v>2.9655906349769421E-2</v>
      </c>
    </row>
    <row r="69" spans="1:7" x14ac:dyDescent="0.25">
      <c r="G69" s="20"/>
    </row>
    <row r="70" spans="1:7" ht="13" x14ac:dyDescent="0.3">
      <c r="D70" s="1" t="s">
        <v>71</v>
      </c>
      <c r="E70" s="1"/>
      <c r="F70" s="1"/>
      <c r="G70" s="21">
        <f>'1 - Financial Statements'!I86/'1 - Financial Statements'!I63</f>
        <v>4.4483859524654133E-2</v>
      </c>
    </row>
    <row r="71" spans="1:7" x14ac:dyDescent="0.25">
      <c r="G71" s="20"/>
    </row>
    <row r="72" spans="1:7" x14ac:dyDescent="0.25">
      <c r="G72" s="20"/>
    </row>
    <row r="73" spans="1:7" x14ac:dyDescent="0.25">
      <c r="A73" s="23" t="s">
        <v>91</v>
      </c>
      <c r="G73" s="20"/>
    </row>
    <row r="74" spans="1:7" x14ac:dyDescent="0.25">
      <c r="G74" s="20"/>
    </row>
    <row r="75" spans="1:7" x14ac:dyDescent="0.25">
      <c r="A75">
        <v>1</v>
      </c>
      <c r="B75" t="s">
        <v>92</v>
      </c>
      <c r="G75" s="20"/>
    </row>
    <row r="76" spans="1:7" x14ac:dyDescent="0.25">
      <c r="A76">
        <v>2</v>
      </c>
      <c r="B76" t="s">
        <v>93</v>
      </c>
    </row>
    <row r="77" spans="1:7" x14ac:dyDescent="0.25">
      <c r="A77">
        <v>3</v>
      </c>
      <c r="B77" t="s">
        <v>94</v>
      </c>
    </row>
  </sheetData>
  <phoneticPr fontId="3" type="noConversion"/>
  <pageMargins left="0.78740157499999996" right="0.78740157499999996" top="0.984251969" bottom="0.984251969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3"/>
  <sheetViews>
    <sheetView topLeftCell="A39" zoomScale="140" zoomScaleNormal="140" workbookViewId="0">
      <selection activeCell="C55" sqref="C55"/>
    </sheetView>
  </sheetViews>
  <sheetFormatPr baseColWidth="10" defaultColWidth="9.1796875" defaultRowHeight="12.5" x14ac:dyDescent="0.25"/>
  <cols>
    <col min="8" max="8" width="16" customWidth="1"/>
    <col min="10" max="10" width="11.54296875" customWidth="1"/>
    <col min="11" max="11" width="12" customWidth="1"/>
    <col min="12" max="12" width="11" customWidth="1"/>
  </cols>
  <sheetData>
    <row r="1" spans="1:10" ht="18" x14ac:dyDescent="0.4">
      <c r="C1" s="2" t="s">
        <v>10</v>
      </c>
    </row>
    <row r="2" spans="1:10" ht="18" x14ac:dyDescent="0.4">
      <c r="C2" s="2" t="s">
        <v>95</v>
      </c>
    </row>
    <row r="3" spans="1:10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3" x14ac:dyDescent="0.3">
      <c r="A4" s="16" t="s">
        <v>96</v>
      </c>
      <c r="B4" s="16"/>
      <c r="C4" s="16"/>
      <c r="D4" s="16"/>
      <c r="E4" s="16"/>
      <c r="F4" s="16"/>
      <c r="G4" s="16"/>
      <c r="H4" s="16"/>
      <c r="I4" s="16"/>
      <c r="J4" s="16"/>
    </row>
    <row r="5" spans="1:10" ht="13" x14ac:dyDescent="0.3">
      <c r="A5" s="16" t="s">
        <v>97</v>
      </c>
      <c r="B5" s="16"/>
      <c r="C5" s="16"/>
      <c r="D5" s="16"/>
      <c r="E5" s="16"/>
      <c r="F5" s="16"/>
      <c r="G5" s="16"/>
      <c r="H5" s="16"/>
      <c r="I5" s="16"/>
      <c r="J5" s="16"/>
    </row>
    <row r="6" spans="1:10" ht="13" x14ac:dyDescent="0.3">
      <c r="A6" s="16"/>
      <c r="B6" s="16"/>
      <c r="C6" s="16"/>
      <c r="D6" s="16"/>
      <c r="E6" s="16"/>
      <c r="F6" s="16"/>
      <c r="G6" s="16"/>
      <c r="H6" s="25" t="s">
        <v>17</v>
      </c>
      <c r="I6" s="16"/>
      <c r="J6" s="16"/>
    </row>
    <row r="7" spans="1:10" ht="15.5" x14ac:dyDescent="0.35">
      <c r="A7" s="8" t="s">
        <v>98</v>
      </c>
      <c r="B7" s="9"/>
      <c r="C7" s="9"/>
      <c r="D7" s="9"/>
      <c r="E7" s="9"/>
      <c r="F7" s="9"/>
      <c r="G7" s="9"/>
      <c r="H7" s="26">
        <v>39082</v>
      </c>
      <c r="I7" s="9"/>
      <c r="J7" s="9" t="s">
        <v>51</v>
      </c>
    </row>
    <row r="9" spans="1:10" x14ac:dyDescent="0.25">
      <c r="A9" s="24" t="s">
        <v>99</v>
      </c>
      <c r="H9" s="27">
        <f>'1 - Financial Statements'!I19/'1 - Financial Statements'!I36</f>
        <v>1.9664616228499785</v>
      </c>
      <c r="J9" s="13" t="s">
        <v>51</v>
      </c>
    </row>
    <row r="10" spans="1:10" x14ac:dyDescent="0.25">
      <c r="H10" s="28"/>
    </row>
    <row r="11" spans="1:10" x14ac:dyDescent="0.25">
      <c r="A11" t="s">
        <v>100</v>
      </c>
      <c r="H11" s="28"/>
    </row>
    <row r="12" spans="1:10" x14ac:dyDescent="0.25">
      <c r="C12" t="s">
        <v>101</v>
      </c>
      <c r="H12" s="27">
        <f>('1 - Financial Statements'!I19-'1 - Financial Statements'!I18)/'1 - Financial Statements'!I36</f>
        <v>0.88782666614426209</v>
      </c>
    </row>
    <row r="13" spans="1:10" x14ac:dyDescent="0.25">
      <c r="H13" s="28"/>
    </row>
    <row r="14" spans="1:10" x14ac:dyDescent="0.25">
      <c r="A14" t="s">
        <v>102</v>
      </c>
      <c r="H14" s="27">
        <f>'1 - Financial Statements'!I75/'1 - Financial Statements'!I36</f>
        <v>0.45135759902832739</v>
      </c>
    </row>
    <row r="15" spans="1:10" x14ac:dyDescent="0.25">
      <c r="H15" s="28"/>
    </row>
    <row r="16" spans="1:10" x14ac:dyDescent="0.25">
      <c r="H16" s="28"/>
    </row>
    <row r="17" spans="1:10" ht="15.5" x14ac:dyDescent="0.35">
      <c r="A17" s="8" t="s">
        <v>103</v>
      </c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H18" s="28"/>
    </row>
    <row r="19" spans="1:10" x14ac:dyDescent="0.25">
      <c r="A19" t="s">
        <v>104</v>
      </c>
      <c r="H19" s="28"/>
    </row>
    <row r="20" spans="1:10" x14ac:dyDescent="0.25">
      <c r="C20" t="s">
        <v>105</v>
      </c>
      <c r="H20" s="27">
        <f>'1 - Financial Statements'!I63/(('1 - Financial Statements'!G17+'1 - Financial Statements'!I17)/2)</f>
        <v>6.4122831959056015</v>
      </c>
    </row>
    <row r="21" spans="1:10" x14ac:dyDescent="0.25">
      <c r="H21" s="28"/>
    </row>
    <row r="22" spans="1:10" x14ac:dyDescent="0.25">
      <c r="A22" t="s">
        <v>106</v>
      </c>
      <c r="H22" s="28"/>
    </row>
    <row r="23" spans="1:10" x14ac:dyDescent="0.25">
      <c r="C23" t="s">
        <v>107</v>
      </c>
      <c r="H23" s="27">
        <f>360/H20</f>
        <v>56.142249024476762</v>
      </c>
      <c r="I23" t="s">
        <v>51</v>
      </c>
    </row>
    <row r="24" spans="1:10" x14ac:dyDescent="0.25">
      <c r="H24" s="28"/>
    </row>
    <row r="25" spans="1:10" x14ac:dyDescent="0.25">
      <c r="A25" t="s">
        <v>108</v>
      </c>
      <c r="H25" s="27">
        <f>'1 - Financial Statements'!I66/(('1 - Financial Statements'!G18+'1 - Financial Statements'!I18)/2)</f>
        <v>3.1592592592592594</v>
      </c>
      <c r="I25" t="s">
        <v>51</v>
      </c>
    </row>
    <row r="26" spans="1:10" x14ac:dyDescent="0.25">
      <c r="H26" s="28"/>
    </row>
    <row r="27" spans="1:10" x14ac:dyDescent="0.25">
      <c r="A27" t="s">
        <v>109</v>
      </c>
      <c r="H27" s="27">
        <f>360/H25</f>
        <v>113.95076201641265</v>
      </c>
    </row>
    <row r="28" spans="1:10" x14ac:dyDescent="0.25">
      <c r="H28" s="28"/>
    </row>
    <row r="29" spans="1:10" x14ac:dyDescent="0.25">
      <c r="A29" t="s">
        <v>110</v>
      </c>
      <c r="H29" s="27">
        <f>'1 - Financial Statements'!I63/(('1 - Financial Statements'!G25+'1 - Financial Statements'!I25)/2)</f>
        <v>3.6551053484602916</v>
      </c>
      <c r="I29" t="s">
        <v>51</v>
      </c>
    </row>
    <row r="30" spans="1:10" x14ac:dyDescent="0.25">
      <c r="H30" s="28"/>
    </row>
    <row r="31" spans="1:10" x14ac:dyDescent="0.25">
      <c r="A31" t="s">
        <v>111</v>
      </c>
      <c r="H31" s="27">
        <f>'1 - Financial Statements'!I63/(('1 - Financial Statements'!G27+'1 - Financial Statements'!I27)/2)</f>
        <v>1.4191145007425305</v>
      </c>
      <c r="I31" t="s">
        <v>51</v>
      </c>
    </row>
    <row r="32" spans="1:10" x14ac:dyDescent="0.25">
      <c r="H32" s="28"/>
    </row>
    <row r="33" spans="1:10" x14ac:dyDescent="0.25">
      <c r="H33" s="28"/>
    </row>
    <row r="34" spans="1:10" ht="15.5" x14ac:dyDescent="0.35">
      <c r="A34" s="8" t="s">
        <v>112</v>
      </c>
      <c r="B34" s="9"/>
      <c r="C34" s="9"/>
      <c r="D34" s="9"/>
      <c r="E34" s="9"/>
      <c r="F34" s="9"/>
      <c r="G34" s="9"/>
      <c r="H34" s="29"/>
      <c r="I34" s="9"/>
      <c r="J34" s="9"/>
    </row>
    <row r="36" spans="1:10" x14ac:dyDescent="0.25">
      <c r="A36" t="s">
        <v>113</v>
      </c>
      <c r="H36" s="27">
        <f>'1 - Financial Statements'!I42/'1 - Financial Statements'!I27</f>
        <v>0.58032726828672609</v>
      </c>
    </row>
    <row r="38" spans="1:10" x14ac:dyDescent="0.25">
      <c r="A38" t="s">
        <v>114</v>
      </c>
      <c r="H38" s="27">
        <f>'1 - Financial Statements'!I42/'1 - Financial Statements'!I50</f>
        <v>1.3828090901155179</v>
      </c>
    </row>
    <row r="40" spans="1:10" x14ac:dyDescent="0.25">
      <c r="A40" t="s">
        <v>115</v>
      </c>
      <c r="H40" s="27">
        <f>'1 - Financial Statements'!I75/'1 - Financial Statements'!I80</f>
        <v>3.6455696202531644</v>
      </c>
      <c r="I40" t="s">
        <v>51</v>
      </c>
    </row>
    <row r="43" spans="1:10" ht="15.5" x14ac:dyDescent="0.35">
      <c r="A43" s="8" t="s">
        <v>116</v>
      </c>
      <c r="B43" s="9"/>
      <c r="C43" s="9"/>
      <c r="D43" s="9"/>
      <c r="E43" s="9"/>
      <c r="F43" s="9"/>
      <c r="G43" s="9"/>
      <c r="H43" s="9"/>
      <c r="I43" s="9"/>
      <c r="J43" s="9"/>
    </row>
    <row r="45" spans="1:10" x14ac:dyDescent="0.25">
      <c r="A45" t="s">
        <v>117</v>
      </c>
      <c r="H45" s="27">
        <f>'1 - Financial Statements'!I68/'1 - Financial Statements'!I63</f>
        <v>0.24352607307555871</v>
      </c>
      <c r="I45" t="s">
        <v>51</v>
      </c>
    </row>
    <row r="47" spans="1:10" x14ac:dyDescent="0.25">
      <c r="A47" t="s">
        <v>118</v>
      </c>
      <c r="H47" s="27">
        <f>'1 - Financial Statements'!I75/'1 - Financial Statements'!I63</f>
        <v>0.10216388790351189</v>
      </c>
    </row>
    <row r="49" spans="1:9" x14ac:dyDescent="0.25">
      <c r="A49" t="s">
        <v>119</v>
      </c>
      <c r="H49" s="27">
        <f>'1 - Financial Statements'!I86/'1 - Financial Statements'!I63</f>
        <v>4.4483859524654133E-2</v>
      </c>
      <c r="I49" t="s">
        <v>51</v>
      </c>
    </row>
    <row r="51" spans="1:9" x14ac:dyDescent="0.25">
      <c r="A51" t="s">
        <v>120</v>
      </c>
      <c r="H51" s="27">
        <f>'1 - Financial Statements'!I86/(('1 - Financial Statements'!G27+'1 - Financial Statements'!I27)/2)</f>
        <v>6.3127690100430414E-2</v>
      </c>
      <c r="I51" t="s">
        <v>51</v>
      </c>
    </row>
    <row r="53" spans="1:9" x14ac:dyDescent="0.25">
      <c r="A53" t="s">
        <v>121</v>
      </c>
      <c r="H53" s="27">
        <f>'1 - Financial Statements'!I86/((('1 - Financial Statements'!G46+'1 - Financial Statements'!G47)+('1 - Financial Statements'!I46+'1 - Financial Statements'!I47))/2)</f>
        <v>0.21808695652173912</v>
      </c>
      <c r="I53" t="s">
        <v>51</v>
      </c>
    </row>
  </sheetData>
  <phoneticPr fontId="3" type="noConversion"/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24"/>
  <sheetViews>
    <sheetView topLeftCell="A203" workbookViewId="0">
      <selection activeCell="L149" sqref="L149"/>
    </sheetView>
  </sheetViews>
  <sheetFormatPr baseColWidth="10" defaultColWidth="9.1796875" defaultRowHeight="12.5" x14ac:dyDescent="0.25"/>
  <sheetData>
    <row r="1" spans="1:10" ht="18" x14ac:dyDescent="0.4">
      <c r="C1" s="2" t="s">
        <v>10</v>
      </c>
    </row>
    <row r="2" spans="1:10" ht="18" x14ac:dyDescent="0.4">
      <c r="C2" s="2" t="s">
        <v>122</v>
      </c>
    </row>
    <row r="3" spans="1:10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3" x14ac:dyDescent="0.3">
      <c r="A4" s="16" t="s">
        <v>123</v>
      </c>
    </row>
    <row r="5" spans="1:10" ht="13" x14ac:dyDescent="0.3">
      <c r="A5" s="16" t="s">
        <v>124</v>
      </c>
    </row>
    <row r="7" spans="1:10" ht="13" x14ac:dyDescent="0.3">
      <c r="A7" s="1" t="s">
        <v>125</v>
      </c>
    </row>
    <row r="9" spans="1:10" x14ac:dyDescent="0.25">
      <c r="C9" s="30">
        <v>2002</v>
      </c>
      <c r="D9" s="30">
        <v>2003</v>
      </c>
      <c r="E9" s="30">
        <v>2004</v>
      </c>
      <c r="F9" s="30">
        <v>2005</v>
      </c>
      <c r="G9" s="30">
        <v>2006</v>
      </c>
    </row>
    <row r="10" spans="1:10" x14ac:dyDescent="0.25">
      <c r="B10" t="s">
        <v>126</v>
      </c>
      <c r="C10" s="27">
        <v>1.97</v>
      </c>
      <c r="D10" s="27">
        <v>1.94</v>
      </c>
      <c r="E10" s="27">
        <v>1.82</v>
      </c>
      <c r="F10" s="27">
        <v>1.91</v>
      </c>
      <c r="G10" s="27">
        <f>'3 - Ratio Analysis'!H9</f>
        <v>1.9664616228499785</v>
      </c>
    </row>
    <row r="11" spans="1:10" x14ac:dyDescent="0.25">
      <c r="B11" t="s">
        <v>127</v>
      </c>
      <c r="C11" s="27">
        <v>1.86</v>
      </c>
      <c r="D11" s="27">
        <v>1.88</v>
      </c>
      <c r="E11" s="27">
        <v>1.8</v>
      </c>
      <c r="F11" s="27">
        <v>1.84</v>
      </c>
      <c r="G11" s="27">
        <v>1.88</v>
      </c>
    </row>
    <row r="31" spans="1:1" ht="13" x14ac:dyDescent="0.3">
      <c r="A31" s="1" t="s">
        <v>128</v>
      </c>
    </row>
    <row r="33" spans="2:7" x14ac:dyDescent="0.25">
      <c r="C33" s="30">
        <v>2002</v>
      </c>
      <c r="D33" s="30">
        <v>2003</v>
      </c>
      <c r="E33" s="30">
        <v>2004</v>
      </c>
      <c r="F33" s="30">
        <v>2005</v>
      </c>
      <c r="G33" s="30">
        <v>2006</v>
      </c>
    </row>
    <row r="34" spans="2:7" x14ac:dyDescent="0.25">
      <c r="B34" t="s">
        <v>126</v>
      </c>
      <c r="C34" s="27">
        <v>0.83</v>
      </c>
      <c r="D34" s="27">
        <v>0.79</v>
      </c>
      <c r="E34" s="27">
        <v>0.77</v>
      </c>
      <c r="F34" s="27">
        <v>0.81</v>
      </c>
      <c r="G34" s="27">
        <f>'3 - Ratio Analysis'!H12</f>
        <v>0.88782666614426209</v>
      </c>
    </row>
    <row r="35" spans="2:7" x14ac:dyDescent="0.25">
      <c r="B35" t="s">
        <v>127</v>
      </c>
      <c r="C35" s="27">
        <v>0.8</v>
      </c>
      <c r="D35" s="27">
        <v>0.83</v>
      </c>
      <c r="E35" s="27">
        <v>0.81</v>
      </c>
      <c r="F35" s="27">
        <v>0.77</v>
      </c>
      <c r="G35" s="27">
        <v>0.79</v>
      </c>
    </row>
    <row r="55" spans="1:7" ht="13" x14ac:dyDescent="0.3">
      <c r="A55" s="1" t="s">
        <v>129</v>
      </c>
    </row>
    <row r="57" spans="1:7" x14ac:dyDescent="0.25">
      <c r="C57" s="30">
        <v>2002</v>
      </c>
      <c r="D57" s="30">
        <v>2003</v>
      </c>
      <c r="E57" s="30">
        <v>2004</v>
      </c>
      <c r="F57" s="30">
        <v>2005</v>
      </c>
      <c r="G57" s="30">
        <v>2006</v>
      </c>
    </row>
    <row r="58" spans="1:7" x14ac:dyDescent="0.25">
      <c r="B58" t="s">
        <v>126</v>
      </c>
      <c r="C58" s="27">
        <v>6.79</v>
      </c>
      <c r="D58" s="27">
        <v>6.71</v>
      </c>
      <c r="E58" s="27">
        <v>6.58</v>
      </c>
      <c r="F58" s="27">
        <v>6.34</v>
      </c>
      <c r="G58" s="27">
        <f>'3 - Ratio Analysis'!H20</f>
        <v>6.4122831959056015</v>
      </c>
    </row>
    <row r="59" spans="1:7" x14ac:dyDescent="0.25">
      <c r="B59" t="s">
        <v>127</v>
      </c>
      <c r="C59" s="27">
        <v>7.07</v>
      </c>
      <c r="D59" s="27">
        <v>7.01</v>
      </c>
      <c r="E59" s="27">
        <v>6.98</v>
      </c>
      <c r="F59" s="27">
        <v>6.84</v>
      </c>
      <c r="G59" s="27">
        <v>6.91</v>
      </c>
    </row>
    <row r="79" spans="1:1" ht="13" x14ac:dyDescent="0.3">
      <c r="A79" s="1" t="s">
        <v>130</v>
      </c>
    </row>
    <row r="81" spans="2:7" x14ac:dyDescent="0.25">
      <c r="C81" s="30">
        <v>2002</v>
      </c>
      <c r="D81" s="30">
        <v>2003</v>
      </c>
      <c r="E81" s="30">
        <v>2004</v>
      </c>
      <c r="F81" s="30">
        <v>2005</v>
      </c>
      <c r="G81" s="30">
        <v>2006</v>
      </c>
    </row>
    <row r="82" spans="2:7" x14ac:dyDescent="0.25">
      <c r="B82" t="s">
        <v>126</v>
      </c>
      <c r="C82" s="27">
        <v>51.3</v>
      </c>
      <c r="D82" s="27">
        <v>52.41</v>
      </c>
      <c r="E82" s="27">
        <v>55.73</v>
      </c>
      <c r="F82" s="27">
        <v>57.08</v>
      </c>
      <c r="G82" s="27">
        <f>'3 - Ratio Analysis'!H23</f>
        <v>56.142249024476762</v>
      </c>
    </row>
    <row r="83" spans="2:7" x14ac:dyDescent="0.25">
      <c r="B83" t="s">
        <v>127</v>
      </c>
      <c r="C83" s="27">
        <v>47.26</v>
      </c>
      <c r="D83" s="27">
        <v>48.33</v>
      </c>
      <c r="E83" s="27">
        <v>49.02</v>
      </c>
      <c r="F83" s="27">
        <v>51.44</v>
      </c>
      <c r="G83" s="27">
        <v>50.62</v>
      </c>
    </row>
    <row r="103" spans="1:7" ht="13" x14ac:dyDescent="0.3">
      <c r="A103" s="1" t="s">
        <v>131</v>
      </c>
    </row>
    <row r="105" spans="1:7" x14ac:dyDescent="0.25">
      <c r="C105" s="30">
        <v>2002</v>
      </c>
      <c r="D105" s="30">
        <v>2003</v>
      </c>
      <c r="E105" s="30">
        <v>2004</v>
      </c>
      <c r="F105" s="30">
        <v>2005</v>
      </c>
      <c r="G105" s="30">
        <v>2006</v>
      </c>
    </row>
    <row r="106" spans="1:7" x14ac:dyDescent="0.25">
      <c r="B106" t="s">
        <v>126</v>
      </c>
      <c r="C106" s="27">
        <v>3.96</v>
      </c>
      <c r="D106" s="27">
        <v>3.44</v>
      </c>
      <c r="E106" s="27">
        <v>3.72</v>
      </c>
      <c r="F106" s="27">
        <v>3.09</v>
      </c>
      <c r="G106" s="27">
        <f>'3 - Ratio Analysis'!H25</f>
        <v>3.1592592592592594</v>
      </c>
    </row>
    <row r="107" spans="1:7" x14ac:dyDescent="0.25">
      <c r="B107" t="s">
        <v>127</v>
      </c>
      <c r="C107" s="27">
        <v>3.8</v>
      </c>
      <c r="D107" s="27">
        <v>3.69</v>
      </c>
      <c r="E107" s="27">
        <v>3.74</v>
      </c>
      <c r="F107" s="27">
        <v>3.97</v>
      </c>
      <c r="G107" s="27">
        <v>3.88</v>
      </c>
    </row>
    <row r="127" spans="1:1" ht="13" x14ac:dyDescent="0.3">
      <c r="A127" s="1" t="s">
        <v>132</v>
      </c>
    </row>
    <row r="129" spans="2:7" x14ac:dyDescent="0.25">
      <c r="C129" s="30">
        <v>2002</v>
      </c>
      <c r="D129" s="30">
        <v>2003</v>
      </c>
      <c r="E129" s="30">
        <v>2004</v>
      </c>
      <c r="F129" s="30">
        <v>2005</v>
      </c>
      <c r="G129" s="30">
        <v>2006</v>
      </c>
    </row>
    <row r="130" spans="2:7" x14ac:dyDescent="0.25">
      <c r="B130" t="s">
        <v>126</v>
      </c>
      <c r="C130" s="27">
        <v>109.77</v>
      </c>
      <c r="D130" s="27">
        <v>111.08</v>
      </c>
      <c r="E130" s="27">
        <v>116.2</v>
      </c>
      <c r="F130" s="27">
        <v>117.33</v>
      </c>
      <c r="G130" s="27">
        <f>'3 - Ratio Analysis'!H27</f>
        <v>113.95076201641265</v>
      </c>
    </row>
    <row r="131" spans="2:7" x14ac:dyDescent="0.25">
      <c r="B131" t="s">
        <v>127</v>
      </c>
      <c r="C131" s="27">
        <v>108</v>
      </c>
      <c r="D131" s="27">
        <v>114</v>
      </c>
      <c r="E131" s="27">
        <v>102</v>
      </c>
      <c r="F131" s="27">
        <v>111</v>
      </c>
      <c r="G131" s="27">
        <v>106</v>
      </c>
    </row>
    <row r="151" spans="1:7" ht="13" x14ac:dyDescent="0.3">
      <c r="A151" s="1" t="s">
        <v>133</v>
      </c>
    </row>
    <row r="153" spans="1:7" x14ac:dyDescent="0.25">
      <c r="C153" s="30">
        <v>2002</v>
      </c>
      <c r="D153" s="30">
        <v>2003</v>
      </c>
      <c r="E153" s="30">
        <v>2004</v>
      </c>
      <c r="F153" s="30">
        <v>2005</v>
      </c>
      <c r="G153" s="30">
        <v>2006</v>
      </c>
    </row>
    <row r="154" spans="1:7" x14ac:dyDescent="0.25">
      <c r="B154" t="s">
        <v>126</v>
      </c>
      <c r="C154" s="27">
        <v>1.61</v>
      </c>
      <c r="D154" s="27">
        <v>1.55</v>
      </c>
      <c r="E154" s="27">
        <v>1.39</v>
      </c>
      <c r="F154" s="27">
        <v>1.48</v>
      </c>
      <c r="G154" s="27">
        <f>'3 - Ratio Analysis'!H31</f>
        <v>1.4191145007425305</v>
      </c>
    </row>
    <row r="155" spans="1:7" x14ac:dyDescent="0.25">
      <c r="B155" t="s">
        <v>127</v>
      </c>
      <c r="C155" s="27">
        <v>1.7</v>
      </c>
      <c r="D155" s="27">
        <v>1.62</v>
      </c>
      <c r="E155" s="27">
        <v>1.68</v>
      </c>
      <c r="F155" s="27">
        <v>1.59</v>
      </c>
      <c r="G155" s="27">
        <v>1.55</v>
      </c>
    </row>
    <row r="175" spans="1:1" ht="13" x14ac:dyDescent="0.3">
      <c r="A175" s="1" t="s">
        <v>134</v>
      </c>
    </row>
    <row r="177" spans="2:7" x14ac:dyDescent="0.25">
      <c r="C177" s="30">
        <v>2002</v>
      </c>
      <c r="D177" s="30">
        <v>2003</v>
      </c>
      <c r="E177" s="30">
        <v>2004</v>
      </c>
      <c r="F177" s="30">
        <v>2005</v>
      </c>
      <c r="G177" s="30">
        <v>2006</v>
      </c>
    </row>
    <row r="178" spans="2:7" x14ac:dyDescent="0.25">
      <c r="B178" t="s">
        <v>126</v>
      </c>
      <c r="C178" s="27">
        <v>0.61</v>
      </c>
      <c r="D178" s="27">
        <v>0.67</v>
      </c>
      <c r="E178" s="27">
        <v>0.51</v>
      </c>
      <c r="F178" s="27">
        <v>0.64</v>
      </c>
      <c r="G178" s="27">
        <f>'3 - Ratio Analysis'!H36</f>
        <v>0.58032726828672609</v>
      </c>
    </row>
    <row r="179" spans="2:7" x14ac:dyDescent="0.25">
      <c r="B179" t="s">
        <v>127</v>
      </c>
      <c r="C179" s="27">
        <v>0.65</v>
      </c>
      <c r="D179" s="27">
        <v>0.61</v>
      </c>
      <c r="E179" s="27">
        <v>0.63</v>
      </c>
      <c r="F179" s="27">
        <v>0.72</v>
      </c>
      <c r="G179" s="27">
        <v>0.69</v>
      </c>
    </row>
    <row r="199" spans="1:7" ht="13" x14ac:dyDescent="0.3">
      <c r="A199" s="1" t="s">
        <v>135</v>
      </c>
    </row>
    <row r="201" spans="1:7" x14ac:dyDescent="0.25">
      <c r="C201" s="30">
        <v>2002</v>
      </c>
      <c r="D201" s="30">
        <v>2003</v>
      </c>
      <c r="E201" s="30">
        <v>2004</v>
      </c>
      <c r="F201" s="30">
        <v>2005</v>
      </c>
      <c r="G201" s="30">
        <v>2006</v>
      </c>
    </row>
    <row r="202" spans="1:7" x14ac:dyDescent="0.25">
      <c r="B202" t="s">
        <v>126</v>
      </c>
      <c r="C202" s="27">
        <v>1.36</v>
      </c>
      <c r="D202" s="27">
        <v>1.3</v>
      </c>
      <c r="E202" s="27">
        <v>1.44</v>
      </c>
      <c r="F202" s="27">
        <v>1.33</v>
      </c>
      <c r="G202" s="27">
        <f>'3 - Ratio Analysis'!H38</f>
        <v>1.3828090901155179</v>
      </c>
    </row>
    <row r="203" spans="1:7" x14ac:dyDescent="0.25">
      <c r="B203" t="s">
        <v>127</v>
      </c>
      <c r="C203" s="27">
        <v>1.4</v>
      </c>
      <c r="D203" s="27">
        <v>1.48</v>
      </c>
      <c r="E203" s="27">
        <v>1.41</v>
      </c>
      <c r="F203" s="27">
        <v>1.44</v>
      </c>
      <c r="G203" s="27">
        <v>1.5</v>
      </c>
    </row>
    <row r="223" spans="1:1" ht="13" x14ac:dyDescent="0.3">
      <c r="A223" s="1" t="s">
        <v>136</v>
      </c>
    </row>
    <row r="225" spans="2:7" x14ac:dyDescent="0.25">
      <c r="C225" s="30">
        <v>2002</v>
      </c>
      <c r="D225" s="30">
        <v>2003</v>
      </c>
      <c r="E225" s="30">
        <v>2004</v>
      </c>
      <c r="F225" s="30">
        <v>2005</v>
      </c>
      <c r="G225" s="30">
        <v>2006</v>
      </c>
    </row>
    <row r="226" spans="2:7" x14ac:dyDescent="0.25">
      <c r="B226" t="s">
        <v>126</v>
      </c>
      <c r="C226" s="27">
        <v>0.28999999999999998</v>
      </c>
      <c r="D226" s="27">
        <v>0.31</v>
      </c>
      <c r="E226" s="27">
        <v>0.23</v>
      </c>
      <c r="F226" s="27">
        <v>0.28000000000000003</v>
      </c>
      <c r="G226" s="27">
        <f>'3 - Ratio Analysis'!H45</f>
        <v>0.24352607307555871</v>
      </c>
    </row>
    <row r="227" spans="2:7" x14ac:dyDescent="0.25">
      <c r="B227" t="s">
        <v>127</v>
      </c>
      <c r="C227" s="27">
        <v>0.22</v>
      </c>
      <c r="D227" s="27">
        <v>0.28000000000000003</v>
      </c>
      <c r="E227" s="27">
        <v>0.2</v>
      </c>
      <c r="F227" s="27">
        <v>0.28000000000000003</v>
      </c>
      <c r="G227" s="27">
        <v>0.28999999999999998</v>
      </c>
    </row>
    <row r="247" spans="1:7" ht="13" x14ac:dyDescent="0.3">
      <c r="A247" s="1" t="s">
        <v>137</v>
      </c>
    </row>
    <row r="249" spans="1:7" x14ac:dyDescent="0.25">
      <c r="C249" s="30">
        <v>2002</v>
      </c>
      <c r="D249" s="30">
        <v>2003</v>
      </c>
      <c r="E249" s="30">
        <v>2004</v>
      </c>
      <c r="F249" s="30">
        <v>2005</v>
      </c>
      <c r="G249" s="30">
        <v>2006</v>
      </c>
    </row>
    <row r="250" spans="1:7" x14ac:dyDescent="0.25">
      <c r="B250" t="s">
        <v>126</v>
      </c>
      <c r="C250" s="27">
        <v>7.0000000000000007E-2</v>
      </c>
      <c r="D250" s="27">
        <v>0.11</v>
      </c>
      <c r="E250" s="27">
        <v>0.08</v>
      </c>
      <c r="F250" s="27">
        <v>0.14000000000000001</v>
      </c>
      <c r="G250" s="27">
        <f>'3 - Ratio Analysis'!H47</f>
        <v>0.10216388790351189</v>
      </c>
    </row>
    <row r="251" spans="1:7" x14ac:dyDescent="0.25">
      <c r="B251" t="s">
        <v>127</v>
      </c>
      <c r="C251" s="27">
        <v>0.14000000000000001</v>
      </c>
      <c r="D251" s="27">
        <v>0.08</v>
      </c>
      <c r="E251" s="27">
        <v>0.09</v>
      </c>
      <c r="F251" s="27">
        <v>0.11</v>
      </c>
      <c r="G251" s="27">
        <v>0.13</v>
      </c>
    </row>
    <row r="271" spans="1:1" ht="13" x14ac:dyDescent="0.3">
      <c r="A271" s="1" t="s">
        <v>138</v>
      </c>
    </row>
    <row r="273" spans="2:7" x14ac:dyDescent="0.25">
      <c r="C273" s="30">
        <v>2002</v>
      </c>
      <c r="D273" s="30">
        <v>2003</v>
      </c>
      <c r="E273" s="30">
        <v>2004</v>
      </c>
      <c r="F273" s="30">
        <v>2005</v>
      </c>
      <c r="G273" s="30">
        <v>2006</v>
      </c>
    </row>
    <row r="274" spans="2:7" x14ac:dyDescent="0.25">
      <c r="B274" t="s">
        <v>126</v>
      </c>
      <c r="C274" s="27">
        <v>0.06</v>
      </c>
      <c r="D274" s="27">
        <v>0.05</v>
      </c>
      <c r="E274" s="27">
        <v>7.0000000000000007E-2</v>
      </c>
      <c r="F274" s="27">
        <v>0.04</v>
      </c>
      <c r="G274" s="27">
        <f>'3 - Ratio Analysis'!H49</f>
        <v>4.4483859524654133E-2</v>
      </c>
    </row>
    <row r="275" spans="2:7" x14ac:dyDescent="0.25">
      <c r="B275" t="s">
        <v>127</v>
      </c>
      <c r="C275" s="27">
        <v>7.0000000000000007E-2</v>
      </c>
      <c r="D275" s="27">
        <v>0.08</v>
      </c>
      <c r="E275" s="27">
        <v>0.05</v>
      </c>
      <c r="F275" s="27">
        <v>0.06</v>
      </c>
      <c r="G275" s="27">
        <v>0.05</v>
      </c>
    </row>
    <row r="295" spans="1:7" ht="13" x14ac:dyDescent="0.3">
      <c r="A295" s="1" t="s">
        <v>139</v>
      </c>
    </row>
    <row r="297" spans="1:7" x14ac:dyDescent="0.25">
      <c r="C297" s="30">
        <v>2002</v>
      </c>
      <c r="D297" s="30">
        <v>2003</v>
      </c>
      <c r="E297" s="30">
        <v>2004</v>
      </c>
      <c r="F297" s="30">
        <v>2005</v>
      </c>
      <c r="G297" s="30">
        <v>2006</v>
      </c>
    </row>
    <row r="298" spans="1:7" x14ac:dyDescent="0.25">
      <c r="B298" t="s">
        <v>126</v>
      </c>
      <c r="C298" s="27">
        <v>0.09</v>
      </c>
      <c r="D298" s="27">
        <v>0.06</v>
      </c>
      <c r="E298" s="27">
        <v>7.0000000000000007E-2</v>
      </c>
      <c r="F298" s="27">
        <v>0.1</v>
      </c>
      <c r="G298" s="27">
        <f>'3 - Ratio Analysis'!H51</f>
        <v>6.3127690100430414E-2</v>
      </c>
    </row>
    <row r="299" spans="1:7" x14ac:dyDescent="0.25">
      <c r="B299" t="s">
        <v>127</v>
      </c>
      <c r="C299" s="27">
        <v>7.0000000000000007E-2</v>
      </c>
      <c r="D299" s="27">
        <v>0.11</v>
      </c>
      <c r="E299" s="27">
        <v>0.1</v>
      </c>
      <c r="F299" s="27">
        <v>0.09</v>
      </c>
      <c r="G299" s="27">
        <v>0.08</v>
      </c>
    </row>
    <row r="320" spans="1:1" ht="13" x14ac:dyDescent="0.3">
      <c r="A320" s="1" t="s">
        <v>140</v>
      </c>
    </row>
    <row r="322" spans="2:7" x14ac:dyDescent="0.25">
      <c r="C322" s="30">
        <v>2002</v>
      </c>
      <c r="D322" s="30">
        <v>2003</v>
      </c>
      <c r="E322" s="30">
        <v>2004</v>
      </c>
      <c r="F322" s="30">
        <v>2005</v>
      </c>
      <c r="G322" s="30">
        <v>2006</v>
      </c>
    </row>
    <row r="323" spans="2:7" x14ac:dyDescent="0.25">
      <c r="B323" t="s">
        <v>126</v>
      </c>
      <c r="C323" s="27">
        <v>0.22</v>
      </c>
      <c r="D323" s="27">
        <v>0.2</v>
      </c>
      <c r="E323" s="27">
        <v>0.24</v>
      </c>
      <c r="F323" s="27">
        <v>0.19</v>
      </c>
      <c r="G323" s="27">
        <f>'3 - Ratio Analysis'!H53</f>
        <v>0.21808695652173912</v>
      </c>
    </row>
    <row r="324" spans="2:7" x14ac:dyDescent="0.25">
      <c r="B324" t="s">
        <v>127</v>
      </c>
      <c r="C324" s="27">
        <v>0.28000000000000003</v>
      </c>
      <c r="D324" s="27">
        <v>0.22</v>
      </c>
      <c r="E324" s="27">
        <v>0.23</v>
      </c>
      <c r="F324" s="27">
        <v>0.26</v>
      </c>
      <c r="G324" s="27">
        <v>0.28999999999999998</v>
      </c>
    </row>
  </sheetData>
  <phoneticPr fontId="3" type="noConversion"/>
  <pageMargins left="0.78740157499999996" right="0.78740157499999996" top="0.984251969" bottom="0.984251969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M31"/>
  <sheetViews>
    <sheetView workbookViewId="0">
      <selection activeCell="J28" sqref="J28"/>
    </sheetView>
  </sheetViews>
  <sheetFormatPr baseColWidth="10" defaultColWidth="9.1796875" defaultRowHeight="12.5" x14ac:dyDescent="0.25"/>
  <cols>
    <col min="5" max="5" width="9.453125" customWidth="1"/>
    <col min="7" max="7" width="9.7265625" bestFit="1" customWidth="1"/>
  </cols>
  <sheetData>
    <row r="1" spans="1:13" ht="18" x14ac:dyDescent="0.4">
      <c r="C1" s="2" t="s">
        <v>10</v>
      </c>
    </row>
    <row r="2" spans="1:13" ht="18" x14ac:dyDescent="0.4">
      <c r="C2" s="2" t="s">
        <v>141</v>
      </c>
    </row>
    <row r="3" spans="1:13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13" x14ac:dyDescent="0.3">
      <c r="A4" s="16" t="s">
        <v>142</v>
      </c>
    </row>
    <row r="6" spans="1:13" ht="13" x14ac:dyDescent="0.3">
      <c r="A6" s="16" t="s">
        <v>143</v>
      </c>
      <c r="G6" s="50" t="s">
        <v>144</v>
      </c>
      <c r="H6" s="51"/>
    </row>
    <row r="7" spans="1:13" ht="13" x14ac:dyDescent="0.3">
      <c r="A7" s="16"/>
      <c r="G7" s="52"/>
      <c r="H7" s="53"/>
    </row>
    <row r="8" spans="1:13" x14ac:dyDescent="0.25">
      <c r="G8" s="54"/>
      <c r="H8" s="55"/>
    </row>
    <row r="9" spans="1:13" ht="13" x14ac:dyDescent="0.25">
      <c r="G9" s="33">
        <f>G13*G17</f>
        <v>0.14595396746879274</v>
      </c>
    </row>
    <row r="10" spans="1:13" ht="13" x14ac:dyDescent="0.3">
      <c r="A10" s="16" t="s">
        <v>145</v>
      </c>
      <c r="G10" s="50" t="s">
        <v>146</v>
      </c>
      <c r="H10" s="51"/>
    </row>
    <row r="11" spans="1:13" x14ac:dyDescent="0.25">
      <c r="G11" s="52"/>
      <c r="H11" s="53"/>
    </row>
    <row r="12" spans="1:13" x14ac:dyDescent="0.25">
      <c r="G12" s="54"/>
      <c r="H12" s="55"/>
    </row>
    <row r="13" spans="1:13" ht="13" x14ac:dyDescent="0.25">
      <c r="G13" s="35">
        <f>'1 - Financial Statements'!I27/'1 - Financial Statements'!I50</f>
        <v>2.3828090901155177</v>
      </c>
    </row>
    <row r="14" spans="1:13" ht="13" x14ac:dyDescent="0.3">
      <c r="A14" s="16" t="s">
        <v>147</v>
      </c>
      <c r="G14" s="50" t="s">
        <v>148</v>
      </c>
      <c r="H14" s="51"/>
    </row>
    <row r="15" spans="1:13" x14ac:dyDescent="0.25">
      <c r="G15" s="52"/>
      <c r="H15" s="53"/>
    </row>
    <row r="16" spans="1:13" x14ac:dyDescent="0.25">
      <c r="G16" s="54"/>
      <c r="H16" s="55"/>
    </row>
    <row r="17" spans="1:12" ht="13" x14ac:dyDescent="0.25">
      <c r="G17" s="33">
        <f>E21*I21</f>
        <v>6.125290023201857E-2</v>
      </c>
      <c r="H17" s="31"/>
    </row>
    <row r="18" spans="1:12" ht="13" x14ac:dyDescent="0.3">
      <c r="A18" s="16" t="s">
        <v>149</v>
      </c>
      <c r="E18" s="50" t="s">
        <v>150</v>
      </c>
      <c r="F18" s="51"/>
      <c r="G18" s="31"/>
      <c r="H18" s="31"/>
      <c r="I18" s="50" t="s">
        <v>151</v>
      </c>
      <c r="J18" s="51"/>
    </row>
    <row r="19" spans="1:12" ht="13" x14ac:dyDescent="0.3">
      <c r="A19" s="16" t="s">
        <v>51</v>
      </c>
      <c r="E19" s="52"/>
      <c r="F19" s="53"/>
      <c r="G19" s="31"/>
      <c r="H19" s="31"/>
      <c r="I19" s="52"/>
      <c r="J19" s="53"/>
    </row>
    <row r="20" spans="1:12" ht="13" x14ac:dyDescent="0.25">
      <c r="E20" s="54"/>
      <c r="F20" s="55"/>
      <c r="G20" s="31"/>
      <c r="H20" s="31"/>
      <c r="I20" s="54"/>
      <c r="J20" s="55"/>
    </row>
    <row r="21" spans="1:12" ht="13" x14ac:dyDescent="0.25">
      <c r="E21" s="33">
        <f>C25/G25</f>
        <v>4.4483859524654133E-2</v>
      </c>
      <c r="G21" s="31"/>
      <c r="H21" s="31"/>
      <c r="I21" s="34">
        <f>G25/K25</f>
        <v>1.3769691048968129</v>
      </c>
    </row>
    <row r="22" spans="1:12" ht="13" x14ac:dyDescent="0.3">
      <c r="A22" s="16" t="s">
        <v>152</v>
      </c>
      <c r="C22" s="50" t="s">
        <v>153</v>
      </c>
      <c r="D22" s="51"/>
      <c r="G22" s="50" t="s">
        <v>154</v>
      </c>
      <c r="H22" s="51"/>
      <c r="K22" s="50" t="s">
        <v>155</v>
      </c>
      <c r="L22" s="51"/>
    </row>
    <row r="23" spans="1:12" ht="13" x14ac:dyDescent="0.3">
      <c r="A23" s="16" t="s">
        <v>156</v>
      </c>
      <c r="C23" s="52"/>
      <c r="D23" s="53"/>
      <c r="G23" s="52"/>
      <c r="H23" s="53"/>
      <c r="K23" s="52"/>
      <c r="L23" s="53"/>
    </row>
    <row r="24" spans="1:12" x14ac:dyDescent="0.25">
      <c r="C24" s="54"/>
      <c r="D24" s="55"/>
      <c r="G24" s="54"/>
      <c r="H24" s="55"/>
      <c r="K24" s="54"/>
      <c r="L24" s="55"/>
    </row>
    <row r="25" spans="1:12" ht="13" x14ac:dyDescent="0.25">
      <c r="C25" s="32">
        <f>'1 - Financial Statements'!I86</f>
        <v>5016</v>
      </c>
      <c r="G25" s="32">
        <f>'1 - Financial Statements'!I63</f>
        <v>112760</v>
      </c>
      <c r="H25" s="31"/>
      <c r="K25" s="32">
        <f>'1 - Financial Statements'!I27</f>
        <v>81890</v>
      </c>
    </row>
    <row r="27" spans="1:12" ht="13" x14ac:dyDescent="0.3">
      <c r="A27" s="16" t="s">
        <v>157</v>
      </c>
    </row>
    <row r="28" spans="1:12" ht="13" x14ac:dyDescent="0.3">
      <c r="A28" s="16" t="s">
        <v>158</v>
      </c>
      <c r="E28" s="1" t="s">
        <v>49</v>
      </c>
      <c r="K28" s="1" t="s">
        <v>16</v>
      </c>
    </row>
    <row r="29" spans="1:12" x14ac:dyDescent="0.25">
      <c r="E29" t="s">
        <v>51</v>
      </c>
      <c r="K29" t="s">
        <v>51</v>
      </c>
    </row>
    <row r="30" spans="1:12" ht="13" x14ac:dyDescent="0.3">
      <c r="E30" s="16" t="s">
        <v>159</v>
      </c>
      <c r="K30" s="16" t="s">
        <v>159</v>
      </c>
    </row>
    <row r="31" spans="1:12" ht="13" x14ac:dyDescent="0.3">
      <c r="E31" s="16" t="s">
        <v>160</v>
      </c>
      <c r="K31" s="16" t="s">
        <v>161</v>
      </c>
    </row>
  </sheetData>
  <mergeCells count="8">
    <mergeCell ref="K22:L24"/>
    <mergeCell ref="C22:D24"/>
    <mergeCell ref="G10:H12"/>
    <mergeCell ref="G6:H8"/>
    <mergeCell ref="G14:H16"/>
    <mergeCell ref="E18:F20"/>
    <mergeCell ref="I18:J20"/>
    <mergeCell ref="G22:H24"/>
  </mergeCells>
  <phoneticPr fontId="3" type="noConversion"/>
  <pageMargins left="0.75" right="0.75" top="1" bottom="1" header="0.5" footer="0.5"/>
  <pageSetup scale="96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3"/>
  <sheetViews>
    <sheetView topLeftCell="A13" zoomScale="140" zoomScaleNormal="140" workbookViewId="0">
      <selection activeCell="G31" sqref="G31"/>
    </sheetView>
  </sheetViews>
  <sheetFormatPr baseColWidth="10" defaultColWidth="9.1796875" defaultRowHeight="12.5" x14ac:dyDescent="0.25"/>
  <cols>
    <col min="4" max="4" width="10.1796875" customWidth="1"/>
    <col min="5" max="5" width="12.26953125" customWidth="1"/>
    <col min="6" max="6" width="12.81640625" customWidth="1"/>
    <col min="7" max="7" width="12.7265625" customWidth="1"/>
    <col min="9" max="9" width="10.7265625" customWidth="1"/>
  </cols>
  <sheetData>
    <row r="1" spans="1:10" ht="18" x14ac:dyDescent="0.4">
      <c r="C1" s="2" t="s">
        <v>10</v>
      </c>
    </row>
    <row r="2" spans="1:10" ht="18" x14ac:dyDescent="0.4">
      <c r="C2" s="2" t="s">
        <v>162</v>
      </c>
    </row>
    <row r="3" spans="1:10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3" x14ac:dyDescent="0.3">
      <c r="A4" s="16" t="s">
        <v>163</v>
      </c>
    </row>
    <row r="6" spans="1:10" x14ac:dyDescent="0.25">
      <c r="A6" t="s">
        <v>164</v>
      </c>
    </row>
    <row r="8" spans="1:10" x14ac:dyDescent="0.25">
      <c r="B8" t="s">
        <v>35</v>
      </c>
    </row>
    <row r="9" spans="1:10" x14ac:dyDescent="0.25">
      <c r="B9" t="s">
        <v>41</v>
      </c>
    </row>
    <row r="11" spans="1:10" x14ac:dyDescent="0.25">
      <c r="A11" t="s">
        <v>165</v>
      </c>
    </row>
    <row r="13" spans="1:10" x14ac:dyDescent="0.25">
      <c r="B13" t="s">
        <v>166</v>
      </c>
      <c r="E13" s="20">
        <v>0.4</v>
      </c>
    </row>
    <row r="14" spans="1:10" ht="13" x14ac:dyDescent="0.3">
      <c r="B14" t="s">
        <v>35</v>
      </c>
      <c r="E14" s="20">
        <v>0.1</v>
      </c>
      <c r="F14" s="20">
        <f>1-E13</f>
        <v>0.6</v>
      </c>
      <c r="G14" s="21">
        <f>E14*F14</f>
        <v>0.06</v>
      </c>
    </row>
    <row r="15" spans="1:10" ht="13" x14ac:dyDescent="0.3">
      <c r="B15" t="s">
        <v>41</v>
      </c>
      <c r="E15" s="20">
        <v>9.5799999999999996E-2</v>
      </c>
      <c r="F15" s="20">
        <f>1-E13</f>
        <v>0.6</v>
      </c>
      <c r="G15" s="21">
        <f>E15*F15</f>
        <v>5.7479999999999996E-2</v>
      </c>
    </row>
    <row r="17" spans="1:7" x14ac:dyDescent="0.25">
      <c r="A17" t="s">
        <v>167</v>
      </c>
    </row>
    <row r="19" spans="1:7" x14ac:dyDescent="0.25">
      <c r="A19" s="36" t="s">
        <v>168</v>
      </c>
      <c r="B19" t="s">
        <v>169</v>
      </c>
      <c r="G19" s="20">
        <v>3.5000000000000003E-2</v>
      </c>
    </row>
    <row r="20" spans="1:7" x14ac:dyDescent="0.25">
      <c r="A20" s="36" t="s">
        <v>170</v>
      </c>
      <c r="B20" t="s">
        <v>171</v>
      </c>
      <c r="G20" s="28">
        <v>1.22</v>
      </c>
    </row>
    <row r="21" spans="1:7" x14ac:dyDescent="0.25">
      <c r="A21" s="36" t="s">
        <v>172</v>
      </c>
      <c r="B21" t="s">
        <v>173</v>
      </c>
      <c r="G21" s="20">
        <v>0.13500000000000001</v>
      </c>
    </row>
    <row r="22" spans="1:7" ht="13" x14ac:dyDescent="0.3">
      <c r="D22" t="s">
        <v>174</v>
      </c>
      <c r="G22" s="21">
        <f>G19+(G20*(G21-G19))</f>
        <v>0.157</v>
      </c>
    </row>
    <row r="24" spans="1:7" x14ac:dyDescent="0.25">
      <c r="A24" s="37" t="s">
        <v>175</v>
      </c>
    </row>
    <row r="25" spans="1:7" x14ac:dyDescent="0.25">
      <c r="A25" s="37"/>
    </row>
    <row r="26" spans="1:7" x14ac:dyDescent="0.25">
      <c r="A26" s="37"/>
      <c r="D26" s="38" t="s">
        <v>176</v>
      </c>
      <c r="E26" s="38" t="s">
        <v>177</v>
      </c>
      <c r="G26" s="38" t="s">
        <v>178</v>
      </c>
    </row>
    <row r="27" spans="1:7" x14ac:dyDescent="0.25">
      <c r="A27" s="37"/>
      <c r="D27" s="30" t="s">
        <v>179</v>
      </c>
      <c r="E27" s="30" t="s">
        <v>180</v>
      </c>
      <c r="F27" s="30" t="s">
        <v>181</v>
      </c>
      <c r="G27" s="30" t="s">
        <v>182</v>
      </c>
    </row>
    <row r="28" spans="1:7" x14ac:dyDescent="0.25">
      <c r="A28" s="37"/>
      <c r="B28" t="s">
        <v>183</v>
      </c>
      <c r="D28" s="20">
        <f>G14</f>
        <v>0.06</v>
      </c>
      <c r="E28" s="13">
        <v>6000</v>
      </c>
      <c r="F28" s="39">
        <f>E28/$E$31</f>
        <v>9.0909090909090912E-2</v>
      </c>
      <c r="G28" s="20">
        <f>D28*F28</f>
        <v>5.4545454545454541E-3</v>
      </c>
    </row>
    <row r="29" spans="1:7" x14ac:dyDescent="0.25">
      <c r="A29" s="37"/>
      <c r="B29" t="s">
        <v>184</v>
      </c>
      <c r="D29" s="20">
        <f>G15</f>
        <v>5.7479999999999996E-2</v>
      </c>
      <c r="E29" s="13">
        <v>15000</v>
      </c>
      <c r="F29" s="39">
        <f>E29/$E$31</f>
        <v>0.22727272727272727</v>
      </c>
      <c r="G29" s="20">
        <f>D29*F29</f>
        <v>1.3063636363636362E-2</v>
      </c>
    </row>
    <row r="30" spans="1:7" x14ac:dyDescent="0.25">
      <c r="A30" s="37"/>
      <c r="B30" t="s">
        <v>185</v>
      </c>
      <c r="D30" s="20">
        <f>G22</f>
        <v>0.157</v>
      </c>
      <c r="E30" s="13">
        <v>45000</v>
      </c>
      <c r="F30" s="39">
        <f>E30/$E$31</f>
        <v>0.68181818181818177</v>
      </c>
      <c r="G30" s="20">
        <f>D30*F30</f>
        <v>0.10704545454545454</v>
      </c>
    </row>
    <row r="31" spans="1:7" ht="13" x14ac:dyDescent="0.3">
      <c r="A31" s="37"/>
      <c r="E31" s="13">
        <f>SUM(E28:E30)</f>
        <v>66000</v>
      </c>
      <c r="F31" s="39">
        <f>SUM(F28:F30)</f>
        <v>1</v>
      </c>
      <c r="G31" s="21">
        <f>SUM(G28:G30)</f>
        <v>0.12556363636363635</v>
      </c>
    </row>
    <row r="33" spans="4:4" ht="13" x14ac:dyDescent="0.3">
      <c r="D33" s="16" t="s">
        <v>186</v>
      </c>
    </row>
  </sheetData>
  <phoneticPr fontId="3" type="noConversion"/>
  <pageMargins left="0.78740157499999996" right="0.78740157499999996" top="0.984251969" bottom="0.984251969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43"/>
  <sheetViews>
    <sheetView tabSelected="1" topLeftCell="A18" workbookViewId="0">
      <selection activeCell="G38" sqref="G38"/>
    </sheetView>
  </sheetViews>
  <sheetFormatPr baseColWidth="10" defaultColWidth="9.1796875" defaultRowHeight="12.5" x14ac:dyDescent="0.25"/>
  <cols>
    <col min="1" max="1" width="4" customWidth="1"/>
    <col min="5" max="5" width="14.26953125" customWidth="1"/>
    <col min="6" max="6" width="9.81640625" customWidth="1"/>
    <col min="8" max="8" width="10" customWidth="1"/>
    <col min="18" max="18" width="9.7265625" bestFit="1" customWidth="1"/>
  </cols>
  <sheetData>
    <row r="1" spans="1:18" ht="18" x14ac:dyDescent="0.4">
      <c r="C1" s="2" t="s">
        <v>10</v>
      </c>
    </row>
    <row r="2" spans="1:18" ht="18" x14ac:dyDescent="0.4">
      <c r="C2" s="2" t="s">
        <v>187</v>
      </c>
    </row>
    <row r="3" spans="1:18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13" x14ac:dyDescent="0.3">
      <c r="A4" s="16" t="s">
        <v>188</v>
      </c>
    </row>
    <row r="5" spans="1:18" ht="13" x14ac:dyDescent="0.3">
      <c r="A5" s="16" t="s">
        <v>189</v>
      </c>
    </row>
    <row r="7" spans="1:18" x14ac:dyDescent="0.25">
      <c r="A7" t="s">
        <v>190</v>
      </c>
      <c r="H7" s="13">
        <f>'1 - Financial Statements'!I22-'1 - Financial Statements'!G22</f>
        <v>3600</v>
      </c>
    </row>
    <row r="9" spans="1:18" x14ac:dyDescent="0.25">
      <c r="A9" t="s">
        <v>191</v>
      </c>
    </row>
    <row r="11" spans="1:18" ht="13" x14ac:dyDescent="0.3">
      <c r="A11" s="1">
        <v>1</v>
      </c>
      <c r="B11" s="1" t="s">
        <v>192</v>
      </c>
      <c r="C11" s="1"/>
      <c r="F11">
        <v>10</v>
      </c>
      <c r="G11" t="s">
        <v>193</v>
      </c>
    </row>
    <row r="13" spans="1:18" ht="13" x14ac:dyDescent="0.3">
      <c r="A13" s="1">
        <v>2</v>
      </c>
      <c r="B13" s="1" t="s">
        <v>194</v>
      </c>
    </row>
    <row r="14" spans="1:18" x14ac:dyDescent="0.25">
      <c r="G14" s="38" t="s">
        <v>195</v>
      </c>
      <c r="H14" s="38" t="s">
        <v>195</v>
      </c>
      <c r="I14" s="38" t="s">
        <v>195</v>
      </c>
      <c r="J14" s="38" t="s">
        <v>195</v>
      </c>
      <c r="K14" s="38" t="s">
        <v>195</v>
      </c>
      <c r="L14" s="38" t="s">
        <v>195</v>
      </c>
      <c r="M14" s="38" t="s">
        <v>195</v>
      </c>
      <c r="N14" s="38" t="s">
        <v>195</v>
      </c>
      <c r="O14" s="38" t="s">
        <v>195</v>
      </c>
      <c r="P14" s="38" t="s">
        <v>195</v>
      </c>
      <c r="Q14" s="38" t="s">
        <v>195</v>
      </c>
    </row>
    <row r="15" spans="1:18" x14ac:dyDescent="0.25">
      <c r="B15" t="s">
        <v>51</v>
      </c>
      <c r="G15" s="30">
        <v>0</v>
      </c>
      <c r="H15" s="30">
        <v>1</v>
      </c>
      <c r="I15" s="30">
        <v>2</v>
      </c>
      <c r="J15" s="30">
        <v>3</v>
      </c>
      <c r="K15" s="30">
        <v>4</v>
      </c>
      <c r="L15" s="30">
        <v>5</v>
      </c>
      <c r="M15" s="30">
        <v>6</v>
      </c>
      <c r="N15" s="30">
        <v>7</v>
      </c>
      <c r="O15" s="30">
        <v>8</v>
      </c>
      <c r="P15" s="30">
        <v>9</v>
      </c>
      <c r="Q15" s="30">
        <v>10</v>
      </c>
      <c r="R15" s="30" t="s">
        <v>196</v>
      </c>
    </row>
    <row r="16" spans="1:18" x14ac:dyDescent="0.25">
      <c r="C16" t="s">
        <v>197</v>
      </c>
      <c r="G16" s="10">
        <v>-3600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>
        <f t="shared" ref="R16:R21" si="0">SUM(G16:Q16)</f>
        <v>-3600</v>
      </c>
    </row>
    <row r="17" spans="1:18" x14ac:dyDescent="0.25">
      <c r="C17" t="s">
        <v>198</v>
      </c>
      <c r="G17" s="10"/>
      <c r="H17" s="10">
        <v>-30</v>
      </c>
      <c r="I17" s="10">
        <v>-25</v>
      </c>
      <c r="J17" s="10">
        <v>-20</v>
      </c>
      <c r="K17" s="10">
        <v>-20</v>
      </c>
      <c r="L17" s="10">
        <v>-20</v>
      </c>
      <c r="M17" s="10">
        <v>-15</v>
      </c>
      <c r="N17" s="10">
        <v>-15</v>
      </c>
      <c r="O17" s="10">
        <v>-15</v>
      </c>
      <c r="P17" s="10">
        <v>-15</v>
      </c>
      <c r="Q17" s="10">
        <v>-15</v>
      </c>
      <c r="R17" s="10">
        <f t="shared" si="0"/>
        <v>-190</v>
      </c>
    </row>
    <row r="18" spans="1:18" x14ac:dyDescent="0.25">
      <c r="C18" t="s">
        <v>199</v>
      </c>
      <c r="G18" s="10"/>
      <c r="H18" s="10">
        <v>400</v>
      </c>
      <c r="I18" s="10">
        <v>400</v>
      </c>
      <c r="J18" s="10">
        <v>400</v>
      </c>
      <c r="K18" s="10">
        <v>420</v>
      </c>
      <c r="L18" s="10">
        <v>420</v>
      </c>
      <c r="M18" s="10">
        <v>420</v>
      </c>
      <c r="N18" s="10">
        <v>430</v>
      </c>
      <c r="O18" s="10">
        <v>430</v>
      </c>
      <c r="P18" s="10">
        <v>450</v>
      </c>
      <c r="Q18" s="10">
        <v>450</v>
      </c>
      <c r="R18" s="10">
        <f t="shared" si="0"/>
        <v>4220</v>
      </c>
    </row>
    <row r="19" spans="1:18" x14ac:dyDescent="0.25">
      <c r="C19" t="s">
        <v>200</v>
      </c>
      <c r="G19" s="10"/>
      <c r="H19" s="10">
        <v>300</v>
      </c>
      <c r="I19" s="10">
        <v>300</v>
      </c>
      <c r="J19" s="10">
        <v>150</v>
      </c>
      <c r="K19" s="10">
        <v>100</v>
      </c>
      <c r="L19" s="10">
        <v>50</v>
      </c>
      <c r="M19" s="10">
        <v>50</v>
      </c>
      <c r="N19" s="10">
        <v>50</v>
      </c>
      <c r="O19" s="10">
        <v>50</v>
      </c>
      <c r="P19" s="10">
        <v>50</v>
      </c>
      <c r="Q19" s="10">
        <v>50</v>
      </c>
      <c r="R19" s="10">
        <f t="shared" si="0"/>
        <v>1150</v>
      </c>
    </row>
    <row r="20" spans="1:18" x14ac:dyDescent="0.25">
      <c r="C20" t="s">
        <v>201</v>
      </c>
      <c r="G20" s="11"/>
      <c r="H20" s="11">
        <v>500</v>
      </c>
      <c r="I20" s="11">
        <v>500</v>
      </c>
      <c r="J20" s="11">
        <v>600</v>
      </c>
      <c r="K20" s="11">
        <v>600</v>
      </c>
      <c r="L20" s="11">
        <v>600</v>
      </c>
      <c r="M20" s="11">
        <v>600</v>
      </c>
      <c r="N20" s="11">
        <v>650</v>
      </c>
      <c r="O20" s="11">
        <v>650</v>
      </c>
      <c r="P20" s="11">
        <v>650</v>
      </c>
      <c r="Q20" s="11">
        <v>650</v>
      </c>
      <c r="R20" s="11">
        <f t="shared" si="0"/>
        <v>6000</v>
      </c>
    </row>
    <row r="21" spans="1:18" x14ac:dyDescent="0.25">
      <c r="E21" t="s">
        <v>202</v>
      </c>
      <c r="G21" s="10">
        <f>SUM(G16:G20)</f>
        <v>-3600</v>
      </c>
      <c r="H21" s="10">
        <f t="shared" ref="H21:Q21" si="1">SUM(H16:H20)</f>
        <v>1170</v>
      </c>
      <c r="I21" s="10">
        <f t="shared" si="1"/>
        <v>1175</v>
      </c>
      <c r="J21" s="10">
        <f t="shared" si="1"/>
        <v>1130</v>
      </c>
      <c r="K21" s="10">
        <f t="shared" si="1"/>
        <v>1100</v>
      </c>
      <c r="L21" s="10">
        <f t="shared" si="1"/>
        <v>1050</v>
      </c>
      <c r="M21" s="10">
        <f t="shared" si="1"/>
        <v>1055</v>
      </c>
      <c r="N21" s="10">
        <f t="shared" si="1"/>
        <v>1115</v>
      </c>
      <c r="O21" s="10">
        <f t="shared" si="1"/>
        <v>1115</v>
      </c>
      <c r="P21" s="10">
        <f t="shared" si="1"/>
        <v>1135</v>
      </c>
      <c r="Q21" s="10">
        <f t="shared" si="1"/>
        <v>1135</v>
      </c>
      <c r="R21" s="10">
        <f t="shared" si="0"/>
        <v>7580</v>
      </c>
    </row>
    <row r="22" spans="1:18" x14ac:dyDescent="0.25"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</row>
    <row r="24" spans="1:18" ht="13" x14ac:dyDescent="0.3">
      <c r="A24" s="1">
        <v>3</v>
      </c>
      <c r="B24" s="1" t="s">
        <v>203</v>
      </c>
    </row>
    <row r="25" spans="1:18" x14ac:dyDescent="0.25">
      <c r="C25" t="s">
        <v>204</v>
      </c>
      <c r="F25" s="40">
        <f>'6 - Cost of Capital'!G31</f>
        <v>0.12556363636363635</v>
      </c>
    </row>
    <row r="26" spans="1:18" x14ac:dyDescent="0.25">
      <c r="C26" t="s">
        <v>51</v>
      </c>
    </row>
    <row r="27" spans="1:18" x14ac:dyDescent="0.25">
      <c r="C27" t="s">
        <v>205</v>
      </c>
      <c r="G27" s="41">
        <v>1</v>
      </c>
      <c r="H27" s="41">
        <f>1/((1+$F$25)^H15)</f>
        <v>0.88844376958614679</v>
      </c>
      <c r="I27" s="41">
        <f t="shared" ref="I27:Q27" si="2">1/((1+$F$25)^I15)</f>
        <v>0.78933233171644224</v>
      </c>
      <c r="J27" s="41">
        <f t="shared" si="2"/>
        <v>0.70127739224637875</v>
      </c>
      <c r="K27" s="41">
        <f t="shared" si="2"/>
        <v>0.62304552989291562</v>
      </c>
      <c r="L27" s="41">
        <f t="shared" si="2"/>
        <v>0.55354091920186022</v>
      </c>
      <c r="M27" s="41">
        <f t="shared" si="2"/>
        <v>0.49178998087588144</v>
      </c>
      <c r="N27" s="41">
        <f t="shared" si="2"/>
        <v>0.43692774445406712</v>
      </c>
      <c r="O27" s="41">
        <f t="shared" si="2"/>
        <v>0.38818573231954406</v>
      </c>
      <c r="P27" s="41">
        <f t="shared" si="2"/>
        <v>0.34488119532153466</v>
      </c>
      <c r="Q27" s="41">
        <f t="shared" si="2"/>
        <v>0.30640754923084046</v>
      </c>
    </row>
    <row r="29" spans="1:18" ht="13" x14ac:dyDescent="0.3">
      <c r="E29" t="s">
        <v>206</v>
      </c>
      <c r="G29" s="10">
        <f>G21*G27</f>
        <v>-3600</v>
      </c>
      <c r="H29" s="10">
        <f>H21*H27</f>
        <v>1039.4792104157918</v>
      </c>
      <c r="I29" s="10">
        <f t="shared" ref="I29:Q29" si="3">I21*I27</f>
        <v>927.46548976681959</v>
      </c>
      <c r="J29" s="10">
        <f t="shared" si="3"/>
        <v>792.44345323840798</v>
      </c>
      <c r="K29" s="10">
        <f t="shared" si="3"/>
        <v>685.35008288220718</v>
      </c>
      <c r="L29" s="10">
        <f t="shared" si="3"/>
        <v>581.2179651619532</v>
      </c>
      <c r="M29" s="10">
        <f t="shared" si="3"/>
        <v>518.83842982405497</v>
      </c>
      <c r="N29" s="10">
        <f t="shared" si="3"/>
        <v>487.17443506628484</v>
      </c>
      <c r="O29" s="10">
        <f t="shared" si="3"/>
        <v>432.82709153629162</v>
      </c>
      <c r="P29" s="10">
        <f t="shared" si="3"/>
        <v>391.44015668994183</v>
      </c>
      <c r="Q29" s="10">
        <f t="shared" si="3"/>
        <v>347.77256837700395</v>
      </c>
      <c r="R29" s="12">
        <f>SUM(G29:Q29)</f>
        <v>2604.0088829587571</v>
      </c>
    </row>
    <row r="30" spans="1:18" ht="13" x14ac:dyDescent="0.3">
      <c r="A30" s="1">
        <v>4</v>
      </c>
      <c r="B30" s="1" t="s">
        <v>207</v>
      </c>
      <c r="H30">
        <f>H21/(1+F25)</f>
        <v>1039.4792104157916</v>
      </c>
    </row>
    <row r="31" spans="1:18" ht="13" x14ac:dyDescent="0.3">
      <c r="B31" s="36" t="s">
        <v>168</v>
      </c>
      <c r="C31" t="s">
        <v>208</v>
      </c>
      <c r="P31" s="1" t="s">
        <v>209</v>
      </c>
    </row>
    <row r="33" spans="2:18" x14ac:dyDescent="0.25">
      <c r="J33" t="s">
        <v>210</v>
      </c>
      <c r="R33" s="42">
        <f>NPV(F25,G21,H21,I21,J21,K21,L21,M21,N21,O21,P21,Q21)</f>
        <v>2313.5154680116884</v>
      </c>
    </row>
    <row r="35" spans="2:18" ht="13" x14ac:dyDescent="0.3">
      <c r="B35" s="36" t="s">
        <v>170</v>
      </c>
      <c r="C35" t="s">
        <v>211</v>
      </c>
      <c r="J35" t="s">
        <v>212</v>
      </c>
      <c r="O35" s="39">
        <v>0.05</v>
      </c>
      <c r="P35" s="1" t="s">
        <v>213</v>
      </c>
      <c r="R35" s="21">
        <f>MIRR(G21:Q21,F25,O35)</f>
        <v>0.14615591210663426</v>
      </c>
    </row>
    <row r="37" spans="2:18" x14ac:dyDescent="0.25">
      <c r="B37" s="36" t="s">
        <v>172</v>
      </c>
      <c r="C37" t="s">
        <v>214</v>
      </c>
    </row>
    <row r="38" spans="2:18" ht="13" x14ac:dyDescent="0.3">
      <c r="B38" s="36"/>
      <c r="H38" s="10">
        <f>G29+H29</f>
        <v>-2560.5207895842082</v>
      </c>
      <c r="I38" s="10">
        <f>H38+I29</f>
        <v>-1633.0552998173885</v>
      </c>
      <c r="J38" s="10">
        <f>I38+J29</f>
        <v>-840.61184657898048</v>
      </c>
      <c r="K38" s="10">
        <f>J38+K29</f>
        <v>-155.2617636967733</v>
      </c>
      <c r="L38" s="10">
        <f>K38+L29</f>
        <v>425.9562014651799</v>
      </c>
      <c r="M38" s="1" t="s">
        <v>215</v>
      </c>
    </row>
    <row r="39" spans="2:18" x14ac:dyDescent="0.25">
      <c r="B39" s="36"/>
    </row>
    <row r="41" spans="2:18" ht="13" x14ac:dyDescent="0.3">
      <c r="B41" s="16" t="s">
        <v>216</v>
      </c>
      <c r="C41" s="16"/>
      <c r="D41" s="16"/>
    </row>
    <row r="42" spans="2:18" ht="13" x14ac:dyDescent="0.3">
      <c r="B42" s="16"/>
      <c r="C42" s="16" t="s">
        <v>217</v>
      </c>
      <c r="D42" s="16"/>
    </row>
    <row r="43" spans="2:18" ht="13" x14ac:dyDescent="0.3">
      <c r="C43" s="16" t="s">
        <v>218</v>
      </c>
    </row>
  </sheetData>
  <phoneticPr fontId="3" type="noConversion"/>
  <pageMargins left="0.78740157499999996" right="0.78740157499999996" top="0.984251969" bottom="0.984251969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14"/>
  <sheetViews>
    <sheetView topLeftCell="A19" workbookViewId="0">
      <selection activeCell="N103" sqref="N103"/>
    </sheetView>
  </sheetViews>
  <sheetFormatPr baseColWidth="10" defaultColWidth="9.1796875" defaultRowHeight="12.5" x14ac:dyDescent="0.25"/>
  <cols>
    <col min="2" max="2" width="10.1796875" customWidth="1"/>
    <col min="3" max="3" width="11.26953125" customWidth="1"/>
    <col min="4" max="4" width="12" customWidth="1"/>
    <col min="5" max="5" width="12.7265625" customWidth="1"/>
    <col min="6" max="6" width="12.1796875" customWidth="1"/>
    <col min="7" max="7" width="11.453125" customWidth="1"/>
    <col min="8" max="8" width="11.54296875" customWidth="1"/>
  </cols>
  <sheetData>
    <row r="1" spans="1:10" ht="18" x14ac:dyDescent="0.4">
      <c r="C1" s="2" t="s">
        <v>10</v>
      </c>
    </row>
    <row r="2" spans="1:10" ht="18" x14ac:dyDescent="0.4">
      <c r="C2" s="2" t="s">
        <v>219</v>
      </c>
    </row>
    <row r="3" spans="1:10" ht="5.1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</row>
    <row r="4" spans="1:10" ht="13" x14ac:dyDescent="0.3">
      <c r="A4" s="16" t="s">
        <v>220</v>
      </c>
    </row>
    <row r="5" spans="1:10" ht="13" x14ac:dyDescent="0.3">
      <c r="A5" s="16" t="s">
        <v>221</v>
      </c>
    </row>
    <row r="7" spans="1:10" ht="13" x14ac:dyDescent="0.3">
      <c r="A7" s="1" t="s">
        <v>222</v>
      </c>
    </row>
    <row r="9" spans="1:10" x14ac:dyDescent="0.25">
      <c r="B9" t="s">
        <v>223</v>
      </c>
    </row>
    <row r="11" spans="1:10" x14ac:dyDescent="0.25">
      <c r="C11" s="38" t="s">
        <v>224</v>
      </c>
      <c r="D11" s="38" t="s">
        <v>224</v>
      </c>
      <c r="E11" s="38" t="s">
        <v>224</v>
      </c>
      <c r="F11" s="38" t="s">
        <v>51</v>
      </c>
    </row>
    <row r="12" spans="1:10" x14ac:dyDescent="0.25">
      <c r="B12" s="30" t="s">
        <v>225</v>
      </c>
      <c r="C12" s="30" t="s">
        <v>226</v>
      </c>
      <c r="D12" s="30" t="s">
        <v>227</v>
      </c>
      <c r="E12" s="30" t="s">
        <v>228</v>
      </c>
      <c r="F12" s="38" t="s">
        <v>51</v>
      </c>
    </row>
    <row r="14" spans="1:10" x14ac:dyDescent="0.25">
      <c r="B14" t="s">
        <v>229</v>
      </c>
      <c r="C14" s="10">
        <v>3020</v>
      </c>
      <c r="D14" s="10">
        <v>3305</v>
      </c>
      <c r="E14" s="10">
        <v>3710</v>
      </c>
    </row>
    <row r="15" spans="1:10" x14ac:dyDescent="0.25">
      <c r="B15" t="s">
        <v>230</v>
      </c>
      <c r="C15" s="10">
        <v>2005</v>
      </c>
      <c r="D15" s="10">
        <v>2180</v>
      </c>
      <c r="E15" s="10">
        <v>2380</v>
      </c>
    </row>
    <row r="16" spans="1:10" x14ac:dyDescent="0.25">
      <c r="B16" t="s">
        <v>231</v>
      </c>
      <c r="C16" s="10">
        <v>880</v>
      </c>
      <c r="D16" s="10">
        <v>1080</v>
      </c>
      <c r="E16" s="10">
        <v>1410</v>
      </c>
    </row>
    <row r="18" spans="1:3" ht="13" x14ac:dyDescent="0.3">
      <c r="A18" s="1" t="s">
        <v>232</v>
      </c>
    </row>
    <row r="20" spans="1:3" x14ac:dyDescent="0.25">
      <c r="B20" t="s">
        <v>233</v>
      </c>
    </row>
    <row r="21" spans="1:3" x14ac:dyDescent="0.25">
      <c r="B21" t="s">
        <v>234</v>
      </c>
    </row>
    <row r="23" spans="1:3" x14ac:dyDescent="0.25">
      <c r="B23" s="30" t="s">
        <v>225</v>
      </c>
      <c r="C23" s="30" t="s">
        <v>235</v>
      </c>
    </row>
    <row r="25" spans="1:3" x14ac:dyDescent="0.25">
      <c r="B25" t="s">
        <v>229</v>
      </c>
      <c r="C25" s="43">
        <v>14.5</v>
      </c>
    </row>
    <row r="26" spans="1:3" x14ac:dyDescent="0.25">
      <c r="B26" t="s">
        <v>230</v>
      </c>
      <c r="C26" s="43">
        <v>17.3</v>
      </c>
    </row>
    <row r="27" spans="1:3" x14ac:dyDescent="0.25">
      <c r="B27" t="s">
        <v>231</v>
      </c>
      <c r="C27" s="43">
        <v>11.2</v>
      </c>
    </row>
    <row r="29" spans="1:3" ht="13" x14ac:dyDescent="0.3">
      <c r="A29" s="1" t="s">
        <v>236</v>
      </c>
    </row>
    <row r="31" spans="1:3" x14ac:dyDescent="0.25">
      <c r="A31">
        <v>3.1</v>
      </c>
      <c r="B31" t="s">
        <v>237</v>
      </c>
    </row>
    <row r="33" spans="1:8" x14ac:dyDescent="0.25">
      <c r="C33" s="38" t="s">
        <v>238</v>
      </c>
      <c r="D33" s="38" t="s">
        <v>238</v>
      </c>
      <c r="E33" s="38" t="s">
        <v>239</v>
      </c>
      <c r="F33" s="38" t="s">
        <v>240</v>
      </c>
      <c r="G33" s="38" t="s">
        <v>154</v>
      </c>
      <c r="H33" s="38" t="s">
        <v>241</v>
      </c>
    </row>
    <row r="34" spans="1:8" x14ac:dyDescent="0.25">
      <c r="B34" s="30" t="s">
        <v>225</v>
      </c>
      <c r="C34" s="30" t="s">
        <v>242</v>
      </c>
      <c r="D34" s="30" t="s">
        <v>243</v>
      </c>
      <c r="E34" s="30" t="s">
        <v>244</v>
      </c>
      <c r="F34" s="30" t="s">
        <v>154</v>
      </c>
      <c r="G34" s="30" t="s">
        <v>235</v>
      </c>
      <c r="H34" s="30" t="s">
        <v>245</v>
      </c>
    </row>
    <row r="36" spans="1:8" x14ac:dyDescent="0.25">
      <c r="B36" t="s">
        <v>229</v>
      </c>
      <c r="C36" s="20">
        <f t="shared" ref="C36:D38" si="0">(D14-C14)/C14</f>
        <v>9.4370860927152314E-2</v>
      </c>
      <c r="D36" s="20">
        <f t="shared" si="0"/>
        <v>0.12254160363086233</v>
      </c>
      <c r="E36" s="20">
        <f>AVERAGE(C36:D36)</f>
        <v>0.10845623227900733</v>
      </c>
      <c r="F36" s="10">
        <f>E14*(1+E36)</f>
        <v>4112.3726217551166</v>
      </c>
      <c r="G36" s="43">
        <f>C25</f>
        <v>14.5</v>
      </c>
      <c r="H36" s="13">
        <f>F36*G36</f>
        <v>59629.403015449192</v>
      </c>
    </row>
    <row r="37" spans="1:8" x14ac:dyDescent="0.25">
      <c r="B37" t="s">
        <v>230</v>
      </c>
      <c r="C37" s="20">
        <f t="shared" si="0"/>
        <v>8.7281795511221949E-2</v>
      </c>
      <c r="D37" s="20">
        <f t="shared" si="0"/>
        <v>9.1743119266055051E-2</v>
      </c>
      <c r="E37" s="20">
        <f>AVERAGE(C37:D37)</f>
        <v>8.95124573886385E-2</v>
      </c>
      <c r="F37" s="10">
        <f>E15*(1+E37)</f>
        <v>2593.0396485849597</v>
      </c>
      <c r="G37" s="43">
        <f>C26</f>
        <v>17.3</v>
      </c>
      <c r="H37" s="13">
        <f>F37*G37</f>
        <v>44859.585920519807</v>
      </c>
    </row>
    <row r="38" spans="1:8" x14ac:dyDescent="0.25">
      <c r="B38" t="s">
        <v>231</v>
      </c>
      <c r="C38" s="20">
        <f t="shared" si="0"/>
        <v>0.22727272727272727</v>
      </c>
      <c r="D38" s="20">
        <f t="shared" si="0"/>
        <v>0.30555555555555558</v>
      </c>
      <c r="E38" s="20">
        <f>AVERAGE(C38:D38)</f>
        <v>0.26641414141414144</v>
      </c>
      <c r="F38" s="10">
        <f>E16*(1+E38)</f>
        <v>1785.6439393939395</v>
      </c>
      <c r="G38" s="43">
        <f>C27</f>
        <v>11.2</v>
      </c>
      <c r="H38" s="13">
        <f>F38*G38</f>
        <v>19999.21212121212</v>
      </c>
    </row>
    <row r="39" spans="1:8" ht="13" x14ac:dyDescent="0.3">
      <c r="G39" s="1" t="s">
        <v>196</v>
      </c>
      <c r="H39" s="44">
        <f>SUM(H36:H38)</f>
        <v>124488.20105718111</v>
      </c>
    </row>
    <row r="40" spans="1:8" ht="13" x14ac:dyDescent="0.3">
      <c r="A40" t="s">
        <v>51</v>
      </c>
      <c r="G40" s="1"/>
      <c r="H40" s="44"/>
    </row>
    <row r="41" spans="1:8" ht="13" x14ac:dyDescent="0.3">
      <c r="A41">
        <v>3.2</v>
      </c>
      <c r="B41" t="s">
        <v>246</v>
      </c>
      <c r="G41" s="1"/>
      <c r="H41" s="44"/>
    </row>
    <row r="42" spans="1:8" ht="13" x14ac:dyDescent="0.3">
      <c r="G42" s="1"/>
      <c r="H42" s="44"/>
    </row>
    <row r="43" spans="1:8" ht="13" x14ac:dyDescent="0.3">
      <c r="B43" t="s">
        <v>247</v>
      </c>
      <c r="G43" s="1"/>
      <c r="H43" s="44">
        <v>6500</v>
      </c>
    </row>
    <row r="45" spans="1:8" ht="13" x14ac:dyDescent="0.3">
      <c r="A45" s="1" t="s">
        <v>248</v>
      </c>
    </row>
    <row r="47" spans="1:8" x14ac:dyDescent="0.25">
      <c r="A47">
        <v>4.0999999999999996</v>
      </c>
      <c r="B47" t="s">
        <v>249</v>
      </c>
    </row>
    <row r="49" spans="1:8" x14ac:dyDescent="0.25">
      <c r="C49" t="s">
        <v>250</v>
      </c>
      <c r="F49" s="38" t="s">
        <v>251</v>
      </c>
      <c r="G49" s="38" t="s">
        <v>252</v>
      </c>
      <c r="H49" s="38" t="s">
        <v>176</v>
      </c>
    </row>
    <row r="50" spans="1:8" x14ac:dyDescent="0.25">
      <c r="B50" s="30" t="s">
        <v>225</v>
      </c>
      <c r="C50" s="30" t="s">
        <v>253</v>
      </c>
      <c r="D50" s="30" t="s">
        <v>254</v>
      </c>
      <c r="E50" s="30" t="s">
        <v>255</v>
      </c>
      <c r="F50" s="30" t="s">
        <v>256</v>
      </c>
      <c r="G50" s="30" t="s">
        <v>257</v>
      </c>
      <c r="H50" s="30" t="s">
        <v>258</v>
      </c>
    </row>
    <row r="52" spans="1:8" x14ac:dyDescent="0.25">
      <c r="B52" t="s">
        <v>229</v>
      </c>
      <c r="C52" s="28">
        <v>1.1499999999999999</v>
      </c>
      <c r="D52" s="28">
        <v>6.2</v>
      </c>
      <c r="E52" s="28">
        <v>2.6</v>
      </c>
      <c r="F52" s="28">
        <f>SUM(C52:E52)</f>
        <v>9.9499999999999993</v>
      </c>
      <c r="G52" s="10">
        <f>F36</f>
        <v>4112.3726217551166</v>
      </c>
      <c r="H52" s="13">
        <f>F52*G52</f>
        <v>40918.107586463404</v>
      </c>
    </row>
    <row r="53" spans="1:8" x14ac:dyDescent="0.25">
      <c r="B53" t="s">
        <v>230</v>
      </c>
      <c r="C53" s="28">
        <v>1.84</v>
      </c>
      <c r="D53" s="28">
        <v>7.55</v>
      </c>
      <c r="E53" s="28">
        <v>3.21</v>
      </c>
      <c r="F53" s="28">
        <f>SUM(C53:E53)</f>
        <v>12.600000000000001</v>
      </c>
      <c r="G53" s="10">
        <f>F37</f>
        <v>2593.0396485849597</v>
      </c>
      <c r="H53" s="13">
        <f>F53*G53</f>
        <v>32672.299572170494</v>
      </c>
    </row>
    <row r="54" spans="1:8" x14ac:dyDescent="0.25">
      <c r="B54" t="s">
        <v>231</v>
      </c>
      <c r="C54" s="28">
        <v>1.32</v>
      </c>
      <c r="D54" s="28">
        <v>4.4000000000000004</v>
      </c>
      <c r="E54" s="28">
        <v>2.84</v>
      </c>
      <c r="F54" s="28">
        <f>SUM(C54:E54)</f>
        <v>8.56</v>
      </c>
      <c r="G54" s="10">
        <f>F38</f>
        <v>1785.6439393939395</v>
      </c>
      <c r="H54" s="13">
        <f>F54*G54</f>
        <v>15285.112121212123</v>
      </c>
    </row>
    <row r="55" spans="1:8" ht="13" x14ac:dyDescent="0.3">
      <c r="C55" s="28"/>
      <c r="D55" s="28"/>
      <c r="E55" s="28"/>
      <c r="G55" s="1" t="s">
        <v>196</v>
      </c>
      <c r="H55" s="44">
        <f>SUM(H52:H54)</f>
        <v>88875.519279846019</v>
      </c>
    </row>
    <row r="57" spans="1:8" x14ac:dyDescent="0.25">
      <c r="A57">
        <v>4.2</v>
      </c>
      <c r="B57" t="s">
        <v>259</v>
      </c>
    </row>
    <row r="58" spans="1:8" x14ac:dyDescent="0.25">
      <c r="B58" t="s">
        <v>260</v>
      </c>
    </row>
    <row r="60" spans="1:8" x14ac:dyDescent="0.25">
      <c r="C60" t="s">
        <v>261</v>
      </c>
      <c r="F60" s="10">
        <v>2390</v>
      </c>
    </row>
    <row r="61" spans="1:8" x14ac:dyDescent="0.25">
      <c r="C61" t="s">
        <v>262</v>
      </c>
      <c r="F61" s="10">
        <v>3585</v>
      </c>
    </row>
    <row r="62" spans="1:8" x14ac:dyDescent="0.25">
      <c r="C62" t="s">
        <v>263</v>
      </c>
      <c r="F62" s="10">
        <v>550</v>
      </c>
    </row>
    <row r="63" spans="1:8" x14ac:dyDescent="0.25">
      <c r="C63" t="s">
        <v>264</v>
      </c>
      <c r="F63" s="10">
        <v>325</v>
      </c>
    </row>
    <row r="64" spans="1:8" ht="13" x14ac:dyDescent="0.3">
      <c r="E64" s="1" t="s">
        <v>196</v>
      </c>
      <c r="F64" s="12">
        <f>SUM(F60:F63)</f>
        <v>6850</v>
      </c>
    </row>
    <row r="66" spans="1:6" x14ac:dyDescent="0.25">
      <c r="A66">
        <v>4.3</v>
      </c>
      <c r="B66" t="s">
        <v>265</v>
      </c>
    </row>
    <row r="68" spans="1:6" x14ac:dyDescent="0.25">
      <c r="C68" t="s">
        <v>266</v>
      </c>
      <c r="F68" s="10">
        <v>4130</v>
      </c>
    </row>
    <row r="69" spans="1:6" x14ac:dyDescent="0.25">
      <c r="C69" t="s">
        <v>267</v>
      </c>
      <c r="F69" s="10">
        <v>2705</v>
      </c>
    </row>
    <row r="70" spans="1:6" x14ac:dyDescent="0.25">
      <c r="C70" t="s">
        <v>268</v>
      </c>
      <c r="F70" s="10">
        <v>1510</v>
      </c>
    </row>
    <row r="71" spans="1:6" x14ac:dyDescent="0.25">
      <c r="C71" t="s">
        <v>269</v>
      </c>
      <c r="F71" s="10">
        <v>1006</v>
      </c>
    </row>
    <row r="72" spans="1:6" x14ac:dyDescent="0.25">
      <c r="C72" t="s">
        <v>62</v>
      </c>
      <c r="F72" s="10">
        <v>460</v>
      </c>
    </row>
    <row r="73" spans="1:6" x14ac:dyDescent="0.25">
      <c r="C73" t="s">
        <v>270</v>
      </c>
      <c r="F73" s="10">
        <v>194</v>
      </c>
    </row>
    <row r="74" spans="1:6" ht="13" x14ac:dyDescent="0.3">
      <c r="E74" s="1" t="s">
        <v>196</v>
      </c>
      <c r="F74" s="12">
        <f>SUM(F68:F73)</f>
        <v>10005</v>
      </c>
    </row>
    <row r="75" spans="1:6" x14ac:dyDescent="0.25">
      <c r="F75" s="10"/>
    </row>
    <row r="76" spans="1:6" x14ac:dyDescent="0.25">
      <c r="A76">
        <v>4.4000000000000004</v>
      </c>
      <c r="B76" t="s">
        <v>271</v>
      </c>
      <c r="F76" s="10"/>
    </row>
    <row r="77" spans="1:6" x14ac:dyDescent="0.25">
      <c r="B77" t="s">
        <v>272</v>
      </c>
      <c r="F77" s="10"/>
    </row>
    <row r="78" spans="1:6" x14ac:dyDescent="0.25">
      <c r="B78" t="s">
        <v>273</v>
      </c>
      <c r="F78" s="10"/>
    </row>
    <row r="79" spans="1:6" x14ac:dyDescent="0.25">
      <c r="F79" s="10"/>
    </row>
    <row r="80" spans="1:6" x14ac:dyDescent="0.25">
      <c r="C80" t="s">
        <v>274</v>
      </c>
      <c r="F80" s="10">
        <v>810</v>
      </c>
    </row>
    <row r="81" spans="1:9" x14ac:dyDescent="0.25">
      <c r="C81" t="s">
        <v>275</v>
      </c>
      <c r="F81" s="10">
        <v>2260</v>
      </c>
    </row>
    <row r="82" spans="1:9" ht="13" x14ac:dyDescent="0.3">
      <c r="E82" s="1" t="s">
        <v>196</v>
      </c>
      <c r="F82" s="12">
        <f>SUM(F80:F81)</f>
        <v>3070</v>
      </c>
    </row>
    <row r="83" spans="1:9" x14ac:dyDescent="0.25">
      <c r="F83" s="10"/>
    </row>
    <row r="85" spans="1:9" ht="13" x14ac:dyDescent="0.3">
      <c r="A85" s="1" t="s">
        <v>276</v>
      </c>
    </row>
    <row r="87" spans="1:9" ht="15.5" x14ac:dyDescent="0.35">
      <c r="C87" s="4" t="s">
        <v>277</v>
      </c>
    </row>
    <row r="88" spans="1:9" ht="15.5" x14ac:dyDescent="0.35">
      <c r="A88" s="8" t="s">
        <v>51</v>
      </c>
      <c r="B88" s="9"/>
      <c r="C88" s="9"/>
      <c r="D88" s="9"/>
      <c r="E88" s="9"/>
      <c r="F88" s="9"/>
      <c r="G88" s="9" t="s">
        <v>51</v>
      </c>
      <c r="I88" s="5"/>
    </row>
    <row r="89" spans="1:9" ht="13" x14ac:dyDescent="0.3">
      <c r="A89" s="36" t="s">
        <v>278</v>
      </c>
      <c r="I89" s="5"/>
    </row>
    <row r="90" spans="1:9" x14ac:dyDescent="0.25">
      <c r="A90">
        <v>3.1</v>
      </c>
      <c r="B90" t="s">
        <v>53</v>
      </c>
      <c r="G90" s="13">
        <f>H39</f>
        <v>124488.20105718111</v>
      </c>
      <c r="I90" s="13"/>
    </row>
    <row r="91" spans="1:9" x14ac:dyDescent="0.25">
      <c r="B91" t="s">
        <v>279</v>
      </c>
      <c r="G91" s="10">
        <f>G90*0.035</f>
        <v>4357.087037001339</v>
      </c>
      <c r="I91" s="18"/>
    </row>
    <row r="92" spans="1:9" x14ac:dyDescent="0.25">
      <c r="B92" t="s">
        <v>55</v>
      </c>
      <c r="G92" s="10">
        <f>G90-G91</f>
        <v>120131.11402017977</v>
      </c>
      <c r="I92" s="10"/>
    </row>
    <row r="93" spans="1:9" x14ac:dyDescent="0.25">
      <c r="A93">
        <v>3.2</v>
      </c>
      <c r="B93" t="s">
        <v>280</v>
      </c>
      <c r="G93" s="10">
        <f>H43</f>
        <v>6500</v>
      </c>
      <c r="I93" s="10"/>
    </row>
    <row r="94" spans="1:9" ht="13" x14ac:dyDescent="0.3">
      <c r="D94" s="1" t="s">
        <v>281</v>
      </c>
      <c r="E94" s="1"/>
      <c r="F94" s="1"/>
      <c r="G94" s="12">
        <f>SUM(G92:G93)</f>
        <v>126631.11402017977</v>
      </c>
      <c r="H94" s="1"/>
      <c r="I94" s="12"/>
    </row>
    <row r="95" spans="1:9" x14ac:dyDescent="0.25">
      <c r="G95" s="10"/>
      <c r="I95" s="10"/>
    </row>
    <row r="96" spans="1:9" x14ac:dyDescent="0.25">
      <c r="A96">
        <v>4.0999999999999996</v>
      </c>
      <c r="B96" t="s">
        <v>58</v>
      </c>
      <c r="G96" s="10">
        <f>H55</f>
        <v>88875.519279846019</v>
      </c>
      <c r="I96" s="10"/>
    </row>
    <row r="97" spans="1:9" x14ac:dyDescent="0.25">
      <c r="G97" s="10"/>
      <c r="I97" s="10"/>
    </row>
    <row r="98" spans="1:9" ht="13" x14ac:dyDescent="0.3">
      <c r="D98" s="1" t="s">
        <v>59</v>
      </c>
      <c r="E98" s="1"/>
      <c r="F98" s="1"/>
      <c r="G98" s="12">
        <f>G94-G96</f>
        <v>37755.594740333749</v>
      </c>
      <c r="H98" s="1"/>
      <c r="I98" s="12"/>
    </row>
    <row r="99" spans="1:9" x14ac:dyDescent="0.25">
      <c r="G99" s="10"/>
      <c r="I99" s="10"/>
    </row>
    <row r="100" spans="1:9" x14ac:dyDescent="0.25">
      <c r="B100" t="s">
        <v>60</v>
      </c>
      <c r="G100" s="10"/>
      <c r="I100" s="10"/>
    </row>
    <row r="101" spans="1:9" x14ac:dyDescent="0.25">
      <c r="A101">
        <v>4.2</v>
      </c>
      <c r="C101" t="s">
        <v>61</v>
      </c>
      <c r="G101" s="10">
        <f>F64</f>
        <v>6850</v>
      </c>
      <c r="I101" s="10"/>
    </row>
    <row r="102" spans="1:9" x14ac:dyDescent="0.25">
      <c r="A102">
        <v>4.3</v>
      </c>
      <c r="C102" t="s">
        <v>62</v>
      </c>
      <c r="G102" s="10">
        <f>F74</f>
        <v>10005</v>
      </c>
      <c r="I102" s="10"/>
    </row>
    <row r="103" spans="1:9" x14ac:dyDescent="0.25">
      <c r="D103" t="s">
        <v>63</v>
      </c>
      <c r="G103" s="10">
        <f>SUM(G101:G102)</f>
        <v>16855</v>
      </c>
      <c r="I103" s="10"/>
    </row>
    <row r="104" spans="1:9" x14ac:dyDescent="0.25">
      <c r="G104" s="10"/>
      <c r="I104" s="10"/>
    </row>
    <row r="105" spans="1:9" ht="13" x14ac:dyDescent="0.3">
      <c r="D105" s="1" t="s">
        <v>64</v>
      </c>
      <c r="E105" s="1"/>
      <c r="F105" s="1"/>
      <c r="G105" s="12">
        <f>G98-G103</f>
        <v>20900.594740333749</v>
      </c>
      <c r="H105" s="1"/>
      <c r="I105" s="12"/>
    </row>
    <row r="106" spans="1:9" x14ac:dyDescent="0.25">
      <c r="G106" s="10"/>
      <c r="I106" s="10"/>
    </row>
    <row r="107" spans="1:9" x14ac:dyDescent="0.25">
      <c r="A107">
        <v>4.4000000000000004</v>
      </c>
      <c r="B107" t="s">
        <v>282</v>
      </c>
      <c r="G107" s="10">
        <f>F82</f>
        <v>3070</v>
      </c>
      <c r="I107" s="10"/>
    </row>
    <row r="108" spans="1:9" x14ac:dyDescent="0.25">
      <c r="G108" s="10"/>
      <c r="I108" s="10"/>
    </row>
    <row r="109" spans="1:9" ht="13" x14ac:dyDescent="0.3">
      <c r="D109" s="1" t="s">
        <v>69</v>
      </c>
      <c r="G109" s="12">
        <f>G105-G107</f>
        <v>17830.594740333749</v>
      </c>
      <c r="I109" s="10"/>
    </row>
    <row r="110" spans="1:9" x14ac:dyDescent="0.25">
      <c r="G110" s="10"/>
      <c r="I110" s="10"/>
    </row>
    <row r="111" spans="1:9" x14ac:dyDescent="0.25">
      <c r="B111" t="s">
        <v>70</v>
      </c>
      <c r="G111" s="10">
        <f>G109*0.4</f>
        <v>7132.2378961334998</v>
      </c>
      <c r="I111" s="10"/>
    </row>
    <row r="112" spans="1:9" x14ac:dyDescent="0.25">
      <c r="G112" s="10"/>
    </row>
    <row r="113" spans="4:8" ht="13.5" thickBot="1" x14ac:dyDescent="0.35">
      <c r="D113" s="1" t="s">
        <v>71</v>
      </c>
      <c r="E113" s="1"/>
      <c r="F113" s="1"/>
      <c r="G113" s="19">
        <f>G109-G111</f>
        <v>10698.356844200249</v>
      </c>
      <c r="H113" s="1"/>
    </row>
    <row r="114" spans="4:8" ht="13" thickTop="1" x14ac:dyDescent="0.25"/>
  </sheetData>
  <phoneticPr fontId="3" type="noConversion"/>
  <pageMargins left="0.78740157499999996" right="0.78740157499999996" top="0.984251969" bottom="0.984251969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</vt:i4>
      </vt:variant>
    </vt:vector>
  </HeadingPairs>
  <TitlesOfParts>
    <vt:vector size="13" baseType="lpstr">
      <vt:lpstr>Introduction</vt:lpstr>
      <vt:lpstr>1 - Financial Statements</vt:lpstr>
      <vt:lpstr>2 - Common Size Statements</vt:lpstr>
      <vt:lpstr>3 - Ratio Analysis</vt:lpstr>
      <vt:lpstr>4 - Industry Trend Analysis</vt:lpstr>
      <vt:lpstr>5 - ROI Model</vt:lpstr>
      <vt:lpstr>6 - Cost of Capital</vt:lpstr>
      <vt:lpstr>7 - Economic Analysis</vt:lpstr>
      <vt:lpstr>8 - Sales Forecast</vt:lpstr>
      <vt:lpstr>Print_Area_Tab1</vt:lpstr>
      <vt:lpstr>Print_Area_Tab2</vt:lpstr>
      <vt:lpstr>'1 - Financial Statements'!Zone_d_impression</vt:lpstr>
      <vt:lpstr>'5 - ROI Model'!Zone_d_impression</vt:lpstr>
    </vt:vector>
  </TitlesOfParts>
  <Manager/>
  <Company>Customs and Border Protection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Case Study Example</dc:title>
  <dc:subject>Financial Analysis</dc:subject>
  <dc:creator>Matt H. Evans</dc:creator>
  <cp:keywords/>
  <dc:description>Complete Example to supplement the course: Introduction to Financial Analysis</dc:description>
  <cp:lastModifiedBy>Sadok LAAJMI (TN)</cp:lastModifiedBy>
  <cp:revision/>
  <dcterms:created xsi:type="dcterms:W3CDTF">2008-09-26T16:57:19Z</dcterms:created>
  <dcterms:modified xsi:type="dcterms:W3CDTF">2023-11-29T15:50:35Z</dcterms:modified>
  <cp:category/>
  <cp:contentStatus/>
</cp:coreProperties>
</file>